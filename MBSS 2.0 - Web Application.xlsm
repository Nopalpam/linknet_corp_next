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hidePivotFieldList="1"/>
  <mc:AlternateContent xmlns:mc="http://schemas.openxmlformats.org/markup-compatibility/2006">
    <mc:Choice Requires="x15">
      <x15ac:absPath xmlns:x15ac="http://schemas.microsoft.com/office/spreadsheetml/2010/11/ac" url="C:\Users\hwaskita\OneDrive - PT XL Axiata Tbk\MBSS\MBSS 2.0\OS and DB\EXCEL - OS and DB\"/>
    </mc:Choice>
  </mc:AlternateContent>
  <xr:revisionPtr revIDLastSave="4" documentId="8_{DD06CC96-FB7D-4A7F-A063-65FB58532560}" xr6:coauthVersionLast="44" xr6:coauthVersionMax="44" xr10:uidLastSave="{ECB81444-E25A-4F8E-9580-709C4C32D863}"/>
  <bookViews>
    <workbookView xWindow="-110" yWindow="-110" windowWidth="19420" windowHeight="10420" activeTab="3" xr2:uid="{00000000-000D-0000-FFFF-FFFF00000000}"/>
  </bookViews>
  <sheets>
    <sheet name="Cover Page" sheetId="2" r:id="rId1"/>
    <sheet name="Version Control" sheetId="24" r:id="rId2"/>
    <sheet name="Document Overview" sheetId="8" r:id="rId3"/>
    <sheet name="MBSS Control Checklist" sheetId="16" r:id="rId4"/>
    <sheet name="Dashboard" sheetId="26" r:id="rId5"/>
    <sheet name="Data" sheetId="27" state="hidden" r:id="rId6"/>
  </sheets>
  <externalReferences>
    <externalReference r:id="rId7"/>
  </externalReferences>
  <definedNames>
    <definedName name="_xlnm._FilterDatabase" localSheetId="3" hidden="1">'MBSS Control Checklist'!$A$1:$S$51</definedName>
    <definedName name="NetworkColumns">'[1]Validation Lists'!$D$2:$D$8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7" i="27" l="1"/>
  <c r="D7" i="27"/>
  <c r="C7" i="27"/>
  <c r="F7" i="27" s="1"/>
  <c r="E6" i="27"/>
  <c r="I35" i="26" s="1"/>
  <c r="D6" i="27"/>
  <c r="C6" i="27"/>
  <c r="E5" i="27"/>
  <c r="D5" i="27"/>
  <c r="C5" i="27"/>
  <c r="E4" i="27"/>
  <c r="D4" i="27"/>
  <c r="I31" i="26" s="1"/>
  <c r="C4" i="27"/>
  <c r="I39" i="26"/>
  <c r="I36" i="26"/>
  <c r="I30" i="26"/>
  <c r="G15" i="26"/>
  <c r="G13" i="26"/>
  <c r="B13" i="26"/>
  <c r="G12" i="26" s="1"/>
  <c r="G11" i="26"/>
  <c r="G10" i="26"/>
  <c r="R51" i="16"/>
  <c r="F51" i="16"/>
  <c r="R50" i="16"/>
  <c r="F50" i="16" s="1"/>
  <c r="R49" i="16"/>
  <c r="F49" i="16" s="1"/>
  <c r="R48" i="16"/>
  <c r="F48" i="16" s="1"/>
  <c r="R47" i="16"/>
  <c r="F47" i="16" s="1"/>
  <c r="R46" i="16"/>
  <c r="F46" i="16" s="1"/>
  <c r="R45" i="16"/>
  <c r="F45" i="16" s="1"/>
  <c r="R44" i="16"/>
  <c r="F44" i="16" s="1"/>
  <c r="R43" i="16"/>
  <c r="F43" i="16" s="1"/>
  <c r="R42" i="16"/>
  <c r="F42" i="16" s="1"/>
  <c r="R41" i="16"/>
  <c r="F41" i="16" s="1"/>
  <c r="R40" i="16"/>
  <c r="F40" i="16" s="1"/>
  <c r="R39" i="16"/>
  <c r="F39" i="16" s="1"/>
  <c r="R38" i="16"/>
  <c r="F38" i="16" s="1"/>
  <c r="R37" i="16"/>
  <c r="F37" i="16"/>
  <c r="R36" i="16"/>
  <c r="F36" i="16" s="1"/>
  <c r="R35" i="16"/>
  <c r="F35" i="16" s="1"/>
  <c r="R34" i="16"/>
  <c r="F34" i="16" s="1"/>
  <c r="R33" i="16"/>
  <c r="F33" i="16" s="1"/>
  <c r="R32" i="16"/>
  <c r="F32" i="16" s="1"/>
  <c r="R31" i="16"/>
  <c r="F31" i="16" s="1"/>
  <c r="R30" i="16"/>
  <c r="F30" i="16" s="1"/>
  <c r="R29" i="16"/>
  <c r="F29" i="16" s="1"/>
  <c r="R28" i="16"/>
  <c r="F28" i="16" s="1"/>
  <c r="R27" i="16"/>
  <c r="F27" i="16" s="1"/>
  <c r="R26" i="16"/>
  <c r="F26" i="16" s="1"/>
  <c r="R25" i="16"/>
  <c r="F25" i="16"/>
  <c r="R24" i="16"/>
  <c r="F24" i="16" s="1"/>
  <c r="R23" i="16"/>
  <c r="F23" i="16" s="1"/>
  <c r="R22" i="16"/>
  <c r="F22" i="16" s="1"/>
  <c r="R21" i="16"/>
  <c r="F21" i="16" s="1"/>
  <c r="R20" i="16"/>
  <c r="F20" i="16" s="1"/>
  <c r="R19" i="16"/>
  <c r="F19" i="16" s="1"/>
  <c r="R18" i="16"/>
  <c r="F18" i="16" s="1"/>
  <c r="R17" i="16"/>
  <c r="F17" i="16"/>
  <c r="R16" i="16"/>
  <c r="F16" i="16" s="1"/>
  <c r="R15" i="16"/>
  <c r="F15" i="16" s="1"/>
  <c r="R14" i="16"/>
  <c r="F14" i="16" s="1"/>
  <c r="R13" i="16"/>
  <c r="F13" i="16" s="1"/>
  <c r="R12" i="16"/>
  <c r="F12" i="16" s="1"/>
  <c r="R11" i="16"/>
  <c r="F11" i="16" s="1"/>
  <c r="R10" i="16"/>
  <c r="F10" i="16" s="1"/>
  <c r="R9" i="16"/>
  <c r="F9" i="16"/>
  <c r="R8" i="16"/>
  <c r="F8" i="16" s="1"/>
  <c r="R7" i="16"/>
  <c r="F7" i="16" s="1"/>
  <c r="R6" i="16"/>
  <c r="F6" i="16" s="1"/>
  <c r="R5" i="16"/>
  <c r="F5" i="16" s="1"/>
  <c r="R4" i="16"/>
  <c r="F4" i="16" s="1"/>
  <c r="R3" i="16"/>
  <c r="F3" i="16"/>
  <c r="R2" i="16"/>
  <c r="F2" i="16" s="1"/>
  <c r="F6" i="27" l="1"/>
  <c r="F4" i="27"/>
  <c r="F5" i="27"/>
  <c r="I38" i="26"/>
  <c r="B17" i="26"/>
  <c r="I27" i="26"/>
  <c r="G16" i="26"/>
  <c r="I29" i="26"/>
  <c r="I34" i="26"/>
  <c r="I40" i="26" l="1"/>
  <c r="G21" i="26"/>
  <c r="I37" i="26"/>
  <c r="I32" i="26"/>
</calcChain>
</file>

<file path=xl/sharedStrings.xml><?xml version="1.0" encoding="utf-8"?>
<sst xmlns="http://schemas.openxmlformats.org/spreadsheetml/2006/main" count="424" uniqueCount="294">
  <si>
    <t xml:space="preserve">Document Name: </t>
  </si>
  <si>
    <t xml:space="preserve">Designer: </t>
  </si>
  <si>
    <t xml:space="preserve">Reviewer: </t>
  </si>
  <si>
    <t>Approver :</t>
  </si>
  <si>
    <t>Document Name</t>
  </si>
  <si>
    <t>Document Overview</t>
  </si>
  <si>
    <t xml:space="preserve">Overview </t>
  </si>
  <si>
    <t>Security Domains</t>
  </si>
  <si>
    <t>Description</t>
  </si>
  <si>
    <t>Control Reference</t>
  </si>
  <si>
    <t>No.</t>
  </si>
  <si>
    <t>Mandatory</t>
  </si>
  <si>
    <t>These are critical observations which may have significant impact on customer services and/or Network Operations. These need to be addressed immediately.</t>
  </si>
  <si>
    <t>Secondary</t>
  </si>
  <si>
    <t>These observations which may have low impact on business and/or Network Operations. These need to be addressed in due course.</t>
  </si>
  <si>
    <t>Calculation of overall compliance score</t>
  </si>
  <si>
    <r>
      <rPr>
        <b/>
        <sz val="10"/>
        <color theme="1"/>
        <rFont val="Arial"/>
        <family val="2"/>
      </rPr>
      <t xml:space="preserve">Overall compliance score (%) </t>
    </r>
    <r>
      <rPr>
        <sz val="10"/>
        <color theme="1"/>
        <rFont val="Arial"/>
        <family val="2"/>
      </rPr>
      <t>= (Number of Mandatory controls being implemented and comply + Sum of approved control exemption) / Sum of Mandatory controls defined in MBSS * 100%</t>
    </r>
    <r>
      <rPr>
        <b/>
        <sz val="10"/>
        <color theme="1"/>
        <rFont val="Arial"/>
        <family val="2"/>
      </rPr>
      <t/>
    </r>
  </si>
  <si>
    <t>Compliance Status</t>
  </si>
  <si>
    <t>Compliant</t>
  </si>
  <si>
    <t>The control shall be marked as compliant if it is qualifying the said objective and requirements</t>
  </si>
  <si>
    <t>Non Compliant</t>
  </si>
  <si>
    <t>The control shall be marked as non compliant if it does not qualify the said objective and requirements</t>
  </si>
  <si>
    <t>Control Exempted</t>
  </si>
  <si>
    <t>The control shall be marked as control exempted if the current deployment/ change/ feature does not support or relate to the said objective and requirements. For any control that is being marked as control exempted, a valid justification/ mitigation measure has to be provided via the control exemption process.</t>
  </si>
  <si>
    <t>Version Control</t>
  </si>
  <si>
    <t xml:space="preserve">Version Update Description </t>
  </si>
  <si>
    <t>Nov 2017</t>
  </si>
  <si>
    <t>Raaj Kamal Kapoor</t>
  </si>
  <si>
    <t>Initial version</t>
  </si>
  <si>
    <t>Oct 2019</t>
  </si>
  <si>
    <t>MBSS Task Force</t>
  </si>
  <si>
    <t>Domain</t>
  </si>
  <si>
    <t>Control</t>
  </si>
  <si>
    <t>Control Description</t>
  </si>
  <si>
    <t>Recommended Configuration</t>
  </si>
  <si>
    <t>Observations
(To be filled by Implementer)</t>
  </si>
  <si>
    <t xml:space="preserve"> Implementer Declaration</t>
  </si>
  <si>
    <t>Evidence Reference</t>
  </si>
  <si>
    <t xml:space="preserve"> Implementer's Response</t>
  </si>
  <si>
    <t>CISO Compliance Status</t>
  </si>
  <si>
    <t>Authentication</t>
  </si>
  <si>
    <t>Asset Under Scope of Review</t>
  </si>
  <si>
    <t>Hostname</t>
  </si>
  <si>
    <t>Operating System Version</t>
  </si>
  <si>
    <t>IP Address (in case of static IP)</t>
  </si>
  <si>
    <t>Evaluation Summary (Implementer)</t>
  </si>
  <si>
    <t>Evaluation Summary (CISO)</t>
  </si>
  <si>
    <t>Type of Information</t>
  </si>
  <si>
    <t>Details</t>
  </si>
  <si>
    <t>Implementer Organization Name</t>
  </si>
  <si>
    <t>&lt;To be filled by Implementer&gt;</t>
  </si>
  <si>
    <t>Control Exemption Registration Number</t>
  </si>
  <si>
    <t>Implementer Name and Email ID</t>
  </si>
  <si>
    <t>&lt;Name&gt;</t>
  </si>
  <si>
    <t>&lt;Email ID&gt;</t>
  </si>
  <si>
    <t>Number of Mandatory Control Registered under Control Exemption</t>
  </si>
  <si>
    <t>Date of Self assessment</t>
  </si>
  <si>
    <t>&lt;dd/mm/yyyy&gt;</t>
  </si>
  <si>
    <t>Number of Mandatory Control Under Approved Exemption</t>
  </si>
  <si>
    <t>Risk Acceptance Registration Number</t>
  </si>
  <si>
    <t>Number of Mandatory Control Registered under Risk Acceptance</t>
  </si>
  <si>
    <t>Number of Mandatory Control Under Risk Acceptance</t>
  </si>
  <si>
    <t>Compliance score (as per CISO evaluation)</t>
  </si>
  <si>
    <t>Compliance score (as per Implementer evaluation)</t>
  </si>
  <si>
    <t>Approval (Implementer)</t>
  </si>
  <si>
    <t>Review and Approval (CISO)</t>
  </si>
  <si>
    <t>Implementer's Approver Name and Email ID</t>
  </si>
  <si>
    <t>Final verified compliance score</t>
  </si>
  <si>
    <t>Approval Date</t>
  </si>
  <si>
    <t>Compliance Officer's Approval</t>
  </si>
  <si>
    <t>Approval date</t>
  </si>
  <si>
    <t>Graphical Analysis</t>
  </si>
  <si>
    <t>Key Indicators</t>
  </si>
  <si>
    <t>General</t>
  </si>
  <si>
    <t>Total Mandatory MBSS Control</t>
  </si>
  <si>
    <t>Implementer</t>
  </si>
  <si>
    <t>CISO</t>
  </si>
  <si>
    <t>Pivot Table Data Source</t>
  </si>
  <si>
    <t>View</t>
  </si>
  <si>
    <t>Category</t>
  </si>
  <si>
    <t>Total</t>
  </si>
  <si>
    <t>Number of registered controls exemption matched with controls exemption reported by Implementer</t>
  </si>
  <si>
    <t>Number of registered risk acceptance matched with non compliant reported by Implementer</t>
  </si>
  <si>
    <t>Mandatory controls being complied</t>
  </si>
  <si>
    <t>Mandatory controls under exemption</t>
  </si>
  <si>
    <t>Control Exemption</t>
  </si>
  <si>
    <t>Mandatory controls being non compliance</t>
  </si>
  <si>
    <t>Mandatory controls under registered controls exemption</t>
  </si>
  <si>
    <t>Mandatory controls under registered risk acceptance</t>
  </si>
  <si>
    <t>Mandatory controls total sum check</t>
  </si>
  <si>
    <t>Check on registered controls exemption with controls exemption reported by Implementer</t>
  </si>
  <si>
    <t>Check on registered risk acceptance with non compliance reported by Implementer</t>
  </si>
  <si>
    <t>Compliance Officer Response</t>
  </si>
  <si>
    <t>Colour Code</t>
  </si>
  <si>
    <t>Required to be filled by Implementer</t>
  </si>
  <si>
    <t>Required to be filled by CISO Officer</t>
  </si>
  <si>
    <t>&lt;To be filled by CISO Officer&gt;</t>
  </si>
  <si>
    <t>Version</t>
  </si>
  <si>
    <t>Date of Release</t>
  </si>
  <si>
    <t>&lt;Insert additional row  below if there are more assset to be registered&gt;</t>
  </si>
  <si>
    <t>Control ID</t>
  </si>
  <si>
    <t>Document Owner:</t>
  </si>
  <si>
    <t>MBSS 2.0 Task Force</t>
  </si>
  <si>
    <t>EY</t>
  </si>
  <si>
    <t>Updated By</t>
  </si>
  <si>
    <t>Rating</t>
  </si>
  <si>
    <t xml:space="preserve">No.   </t>
  </si>
  <si>
    <t>Minimum Baseline Security Standard (MBSS) for Web Application</t>
  </si>
  <si>
    <t>Error Handling and Logging</t>
  </si>
  <si>
    <t>This control ensures improper error handling for Web application system does not revealed internal error messages such as stack traces, database dumps and error codes to the user. These messages could provide potential flaws about the application. Logging also helps to capture required information for Auditing, Tracing and High integrity of data.</t>
  </si>
  <si>
    <t>Data Protection</t>
  </si>
  <si>
    <t xml:space="preserve">This control ensures proper encryption methodology is in place to manage data in transit, storage and processing. Secure communication channel is configured between server and client with valid and sufficient encryption certificate. Proper algorithm and technique are implemented for password storage. </t>
  </si>
  <si>
    <t>This control ensures authentication controls are in placed to protect the Web application from crucial attacks such as brute-force, harvesting, etc. Sensitive and credential information are stored securely and the access level to these information are restricted based on least privileges.</t>
  </si>
  <si>
    <t>Session Management</t>
  </si>
  <si>
    <t xml:space="preserve">This control ensures session details such as session identifiers, session tokens and session cookies are properly configured and implemented to avoid from being compromised. </t>
  </si>
  <si>
    <t>Input and Output Handling</t>
  </si>
  <si>
    <t>This domain ensures proper controls are implemented to protect the Web application against critical attacks such Cross-Site Scripting (XSS), SQL Injection, Cross-Site Request Forgery (CSRF) and clickjacking. Proper validation control is in place for input and output data.</t>
  </si>
  <si>
    <t>Access Control</t>
  </si>
  <si>
    <t>This control ensures all access rules are based on least privileges. Direct references to files or parameters are not being used or permitted. Unvalidated forward/redirect requests without authentication are being rejected.</t>
  </si>
  <si>
    <t>MBSS2.0-WebApplication-001</t>
  </si>
  <si>
    <t>Display generic error messages</t>
  </si>
  <si>
    <t>Error messages should be generic and it should not present any details of the internal state of the application. Some common details that should not be shown are as follow:
• Stack Information
• File System Path
• Version details
• IP addresses
• Protocols used</t>
  </si>
  <si>
    <t>The default error pages which reveal Web server technology should be replaced with generic error pages. Additionally, the server banner revealing the Web server technology and version should be removed from the Web server response headers.</t>
  </si>
  <si>
    <t>MBSS2.0-WebApplication-002</t>
  </si>
  <si>
    <t>No unhandled exceptions</t>
  </si>
  <si>
    <t>Error handlers should be in place to handle all possible errors and return proper controlled output to end users</t>
  </si>
  <si>
    <t>It is recommended to configure as per the control description.</t>
  </si>
  <si>
    <t>MBSS2.0-WebApplication-003</t>
  </si>
  <si>
    <t>Suppress framework generated errors</t>
  </si>
  <si>
    <t>Application may generate default error messages which might contain sensitive details. These messages should be replaced/suppressed with sanitized error messages.</t>
  </si>
  <si>
    <t>MBSS2.0-WebApplication-004</t>
  </si>
  <si>
    <t>Log all authentication activities</t>
  </si>
  <si>
    <t>The applications should log all authentication activities, whether it is successful or not successful.</t>
  </si>
  <si>
    <t>MBSS2.0-WebApplication-005</t>
  </si>
  <si>
    <t>Log all privilege changes</t>
  </si>
  <si>
    <t xml:space="preserve">The application should log all activities or occasions where a user's privilege level has changed. </t>
  </si>
  <si>
    <t>MBSS2.0-WebApplication-006</t>
  </si>
  <si>
    <t>Log administrative activities</t>
  </si>
  <si>
    <t>The Application should log all administrator activities.</t>
  </si>
  <si>
    <t>MBSS2.0-WebApplication-007</t>
  </si>
  <si>
    <t>Log access to sensitive data</t>
  </si>
  <si>
    <t>The application should log all access to sensitive data (inclusive of changes made to the data)</t>
  </si>
  <si>
    <t>MBSS2.0-WebApplication-008</t>
  </si>
  <si>
    <t>Store logs securely</t>
  </si>
  <si>
    <t>Logs should be stored and maintained appropriately to avoid loss of information or tampering by attackers. Log retention should also follow the Axiata/OpCo’s retention policy and local law, where applicable.</t>
  </si>
  <si>
    <t>MBSS2.0-WebApplication-009</t>
  </si>
  <si>
    <t>Adopt the use of TLS</t>
  </si>
  <si>
    <t xml:space="preserve">TLS must be used to protect and encrypt sensitive, plaintext information in transit. It is recommended to use TLS for the end-to-end connection, however, TLS must implemented to secure the following:
• Authentication pages (before and after the user is authenticated)
• Once sensitive information are submitted before authentication (to ensure intruder cannot intercept and capture the sensitive details in plaintext)
</t>
  </si>
  <si>
    <t>MBSS2.0-WebApplication-010</t>
  </si>
  <si>
    <t>Disallow HTTP connections</t>
  </si>
  <si>
    <t>Connection to the web application must not accept any connection via HTTP.</t>
  </si>
  <si>
    <t>MBSS2.0-WebApplication-011</t>
  </si>
  <si>
    <t>Use strict-transport security header</t>
  </si>
  <si>
    <t>The main advantages of using strict-transport security header is to ensure that the browser does not communicate to the server over non-TLS connections. This helps reduce the risk of TLS stripping attacks as implemented by the sslsniff tool</t>
  </si>
  <si>
    <t>MBSS2.0-WebApplication-012</t>
  </si>
  <si>
    <t>Store user passwords using a strong, iterative, salted hash</t>
  </si>
  <si>
    <t>User passwords must be stored using secure hashing techniques with strong algorithm like PBKDF2, bcrypt, or SHA-512. Simply hashing the password a single time does not sufficiently protect the password. Use iterative hashing, combined with a random salt for each user to make the hash strong</t>
  </si>
  <si>
    <t>MBSS2.0-WebApplication-013</t>
  </si>
  <si>
    <t>Securely exchange encryption keys</t>
  </si>
  <si>
    <t>If encryption keys are exchanged or pre-set in your application, then a key establishment or exchange must be performed over a secure channel</t>
  </si>
  <si>
    <t>MBSS2.0-WebApplication-014</t>
  </si>
  <si>
    <t>Mask critical information such as PAN, SSN, Credit Card Number etc.</t>
  </si>
  <si>
    <t>Ensure masking of critical details such as PAN, SSN, Credit Card number etc. and ensure the details are encrypted in database. PCI DSS guidelines for credit/debit card related security controls should be implement where applicable.</t>
  </si>
  <si>
    <t>MBSS2.0-WebApplication-015</t>
  </si>
  <si>
    <t>Set up secure key management processes</t>
  </si>
  <si>
    <t>When keys are stored in your system they must be properly secured and only accessible to the appropriate staff on a need to know basis.</t>
  </si>
  <si>
    <t>MBSS2.0-WebApplication-016</t>
  </si>
  <si>
    <t>Disable weak TLS ciphers on servers</t>
  </si>
  <si>
    <t>Weak TLS ciphers must be disabled on all servers. For example, SSL v2 has known weaknesses and is not considered to be secure. Additionally, cryptographically weak ciphers and should not be used.</t>
  </si>
  <si>
    <t>MBSS2.0-WebApplication-017</t>
  </si>
  <si>
    <t>Use valid TLS certificates from a reputable certificate authority</t>
  </si>
  <si>
    <t>TLS certificates should be signed by a reputable certificate authority (“CA”). The name on the certificate should match the fully qualified domain name (“FQDN”) of the website. The certificate itself should be valid and not expired.</t>
  </si>
  <si>
    <t>MBSS2.0-WebApplication-018</t>
  </si>
  <si>
    <t>Disable data caching using cache control headers and autocomplete functions</t>
  </si>
  <si>
    <t>Cache control HTTP header should be disabled for the browser data caching within HTML page. In addition to that, sensitive input fields should have autocomplete off. This control helps to avoid browser from capturing unnecessary credentials</t>
  </si>
  <si>
    <t>MBSS2.0-WebApplication-019</t>
  </si>
  <si>
    <t>Limit the use and storage of sensitive data</t>
  </si>
  <si>
    <t xml:space="preserve">Evaluation should be in place to ensure only required sensitive data is being transported or stored. It is recommended to use tokenization in order to reduce data exposure risks </t>
  </si>
  <si>
    <t>MBSS2.0-WebApplication-020</t>
  </si>
  <si>
    <t>Disallow the hardcoding of credentials</t>
  </si>
  <si>
    <t>The application should have any sensitive authentication credentials hardcoded into the source code.</t>
  </si>
  <si>
    <t>MBSS2.0-WebApplication-021</t>
  </si>
  <si>
    <t>Revalidate authentication before any modification in user account details</t>
  </si>
  <si>
    <t>Application should prompt for reconfirmation of the password if there are any changes to the detail of users.</t>
  </si>
  <si>
    <t>MBSS2.0-WebApplication-022</t>
  </si>
  <si>
    <t>Develop a secure password reset system</t>
  </si>
  <si>
    <t>It is advisable to use two layers of authentication during the password reset process. The first layer could involve answering a secret question initially chosen by the user. The second layer could be to send a time sensitive link to the user’s registered email address to reset the password. In addition, password the reset option should not reveal the username to prevent username harvesting.</t>
  </si>
  <si>
    <t>MBSS2.0-WebApplication-023</t>
  </si>
  <si>
    <t>Do not deny or confirm user existence during the password reset process</t>
  </si>
  <si>
    <t xml:space="preserve">Ensure a generic message is shown while resetting the password, such as “You will receive a password reset email should the account exist” in place of a message such “The password reset link for your ID (janedoe51) has been sent to you email”
Note: This control is subject to business requirements.
</t>
  </si>
  <si>
    <t>MBSS2.0-WebApplication-024</t>
  </si>
  <si>
    <t>Implement a strong password policy</t>
  </si>
  <si>
    <t>Strong passwords protect systems from being hacked through brute force methods. Password length should be configured to be 8 characters or more.</t>
  </si>
  <si>
    <t>The password should comprise of the following requirements:
1. 8 or more characters long
2. Password must contain 1 number
3. Password must contain 1 upper case character
4. Password must contain 1 lower case character
5. Password must contain 1 special character
6. Unable to reuse 6 or more previous passwords
7. Locked after 3 or less failed login attempts</t>
  </si>
  <si>
    <t>MBSS2.0-WebApplication-025</t>
  </si>
  <si>
    <t>Implement account lockout duration</t>
  </si>
  <si>
    <t xml:space="preserve">All accounts should be locked indefinitely after 3 or less failed attempts and would only be unlocked by the administrator. </t>
  </si>
  <si>
    <t xml:space="preserve">Set account lockout to conform to site policy. </t>
  </si>
  <si>
    <t>MBSS2.0-WebApplication-026</t>
  </si>
  <si>
    <t>Secure database credentials</t>
  </si>
  <si>
    <t>The connection between the processing layer (business logic tier) and database layer (data tier) of Web application must have authentication control. The credentials of business logic tier should be stored in centralized location and locked down.</t>
  </si>
  <si>
    <t>MBSS2.0-WebApplication-027</t>
  </si>
  <si>
    <t>Application and middleware privileges management</t>
  </si>
  <si>
    <t>The application and middleware must be configured to run with least privileges required to limit the impact in the event of a system compromise.</t>
  </si>
  <si>
    <t>MBSS2.0-WebApplication-028</t>
  </si>
  <si>
    <t>Ensure that session identifiers are sufficiently secured</t>
  </si>
  <si>
    <t>Session tokens must be generated securely and appropriate in length.</t>
  </si>
  <si>
    <t>MBSS2.0-WebApplication-029</t>
  </si>
  <si>
    <t>Regenerate session tokens</t>
  </si>
  <si>
    <t>New session token must be generated when the user authenticates to the system (application) as well as when the user privilege level changes</t>
  </si>
  <si>
    <t>MBSS2.0-WebApplication-030</t>
  </si>
  <si>
    <t>Implement an idle session timeout</t>
  </si>
  <si>
    <t xml:space="preserve">A user’s session must be closed after an inactive period of 15 or less minutes. </t>
  </si>
  <si>
    <t>MBSS2.0-WebApplication-031</t>
  </si>
  <si>
    <t>Destroy sessions at any sign of tampering</t>
  </si>
  <si>
    <t>It is highly recommended to implement the feature to detect multiple simultaneous sessions and if the feature detects there is a sign of session cloning attempts, the session should be dropped, wipe and the user requires to re-login again.</t>
  </si>
  <si>
    <t>MBSS2.0-WebApplication-032</t>
  </si>
  <si>
    <t>Invalidate the session after logout</t>
  </si>
  <si>
    <t>After user logs out from the application, the session and corresponding data on the server must be destroyed/wipe in order to ensure the session cannot be revived.</t>
  </si>
  <si>
    <t>MBSS2.0-WebApplication-033</t>
  </si>
  <si>
    <t>Place a logout button on every page</t>
  </si>
  <si>
    <t xml:space="preserve">Application should be designed whereby the Logout button is displayed and functioning on ever page. </t>
  </si>
  <si>
    <t>MBSS2.0-WebApplication-034</t>
  </si>
  <si>
    <t>Use secure cookie attributes (i.e., httponly and secure flags)</t>
  </si>
  <si>
    <t>The session cookie should contains secure flags and HttpOnly to ensure the risk of session id being accessible to client-side scripts attack is minimal and that the data is being transfer only occurs via TLS encryption.</t>
  </si>
  <si>
    <t>MBSS2.0-WebApplication-035</t>
  </si>
  <si>
    <t>Set the cookie expiration time</t>
  </si>
  <si>
    <t>Each session cookie should be valid for a limited time.</t>
  </si>
  <si>
    <t>MBSS2.0-WebApplication-036</t>
  </si>
  <si>
    <t>Conduct contextual output encoding</t>
  </si>
  <si>
    <t xml:space="preserve">All output functions must contextually encode data before being sent to the user. 
Note: This control helps to reduce the XSS attacks.
</t>
  </si>
  <si>
    <t>MBSS2.0-WebApplication-037</t>
  </si>
  <si>
    <t>Preference of whitelists over blacklists</t>
  </si>
  <si>
    <t>User input field should be validated on the input content. For security purposes, whitelisting is preferable compare to blacklisting. This means that application should accept data that meets a certain criteria only.</t>
  </si>
  <si>
    <t>MBSS2.0-WebApplication-038</t>
  </si>
  <si>
    <t>Use parameterized SQL queries</t>
  </si>
  <si>
    <t>In order to ensure the application is protected against SQL injection attacks, SQL queries should pass user content into a bind variable. 
Note: SQL queries should not be created dynamically using string concatenation. Similarly, the SQL query string used in a bound or parameterized query should never be dynamically built from user input in order to ensure the application is protected against SQL injection attacks, SQL queries should be made with user content passed into a bind variable.</t>
  </si>
  <si>
    <t>MBSS2.0-WebApplication-039</t>
  </si>
  <si>
    <t>Use tokens to prevent forged requests</t>
  </si>
  <si>
    <t>This control helps to reduce the risk of CSRF (Cross-site request forgery) attacks by embedding a random value into HTML form.
The value of the random token should not be known to attacker.</t>
  </si>
  <si>
    <t>MBSS2.0-WebApplication-040</t>
  </si>
  <si>
    <t>Application encoding</t>
  </si>
  <si>
    <t>It is advisable to use encoding for all pages containing HTTP headers or meta tags within HTML. Encoding must be consistent such as the use of UTF-8. This control helps to reduce the risk of Cross-site scripting attacks</t>
  </si>
  <si>
    <t>MBSS2.0-WebApplication-041</t>
  </si>
  <si>
    <t>Validate uploaded files</t>
  </si>
  <si>
    <t xml:space="preserve">If upload process is required for the Web application, ensure the uploaded files are being validated in terms of size, type, contents as well as the file cannot override the destination path for the file. Below controls could be in place to avoid file upload attacks:
• Use a whitelist of allowed files
• Scan for Malware
• Randomize uploaded file names etc.
</t>
  </si>
  <si>
    <t>MBSS2.0-WebApplication-042</t>
  </si>
  <si>
    <t>Use the Nosniff header for uploaded content</t>
  </si>
  <si>
    <t xml:space="preserve">If user uploaded content is being hosted, X-content-type-options should be used to help nosniff header that the browser does not try guessing the data type. 
Note: Ensure server or application determines the data type
</t>
  </si>
  <si>
    <t>MBSS2.0-WebApplication-043</t>
  </si>
  <si>
    <t>Validate the source of input</t>
  </si>
  <si>
    <t xml:space="preserve">The source of the input must be validated before processing. For example, if input is expected from a POST request, do not accept the input variables from GET request. Ensure that the application should access only allowed HTTP Methods and prevent disallowed ones such as change of GET to POST, PUT to DELETE etc. </t>
  </si>
  <si>
    <t>MBSS2.0-WebApplication-044</t>
  </si>
  <si>
    <t>Avoid or strictly validate input reflecting in response headers</t>
  </si>
  <si>
    <t>Application should avoid copying user-controllable data into HTTP response headers or else data should be strictly validated to prevent response header injection attacks. Failing to prevent this could also lead to cross-site scripting attacks.</t>
  </si>
  <si>
    <t>MBSS2.0-WebApplication-045</t>
  </si>
  <si>
    <t>Use the X-frame- options header</t>
  </si>
  <si>
    <t>X-Frame options header helps to prevent the content from being loaded by a foreign site in a frame such as &lt;frame&gt;, &lt;iframe&gt;, &lt;embed&gt; or &lt;object&gt;. This control reduces the risk of clickjacking attacks</t>
  </si>
  <si>
    <t>MBSS2.0-WebApplication-046</t>
  </si>
  <si>
    <t>Use content security policy or X-Xss-protection headers</t>
  </si>
  <si>
    <t>Content Security Policy (CSP) and X-XSS-Protection headers help to protect the application from common Cross-site scripting (XSS) attacks
*Content Security Policy (CSP), which is defined by W3C Specs as standard header, refer to https://www.w3.org/TR/CSP1/ for more information.</t>
  </si>
  <si>
    <t>MBSS2.0-WebApplication-047</t>
  </si>
  <si>
    <t>Periodical review of user access logs</t>
  </si>
  <si>
    <t>Access logs should be checked on a regular basis and upon confirmation of suspicious activities.</t>
  </si>
  <si>
    <t>MBSS2.0-WebApplication-048</t>
  </si>
  <si>
    <t>Apply the principle of least privilege</t>
  </si>
  <si>
    <t>All access decisions must be based on the principle of least privilege. Also, the rights for the user accounts must be defined based on their roles and responsibilities.</t>
  </si>
  <si>
    <t>MBSS2.0-WebApplication-049</t>
  </si>
  <si>
    <t>Disallow the use direct object references for access control checks</t>
  </si>
  <si>
    <t>Files or parameters must not have direct object reference access. This is to avoid manipulation to grant excessive access. The access control must be based on following criteria: 
• Authentication
• Identification
• Trusting Server-Side Information</t>
  </si>
  <si>
    <t>MBSS2.0-WebApplication-050</t>
  </si>
  <si>
    <t>Disallow the use unvalidated forward or redirect functions</t>
  </si>
  <si>
    <t xml:space="preserve">Lack of validation of forward requests may lead to intruders obtaining access to sensitive content without authentication to the system. It can also lead to attackers luring users to malicious websites. </t>
  </si>
  <si>
    <t>Rating Description</t>
  </si>
  <si>
    <t>Instructions for Using This Document</t>
  </si>
  <si>
    <t>&lt;Signature / Digital Signature&gt;</t>
  </si>
  <si>
    <t>&lt;Signature / Approval Email&gt;</t>
  </si>
  <si>
    <t xml:space="preserve"> Axiata Group CISO Office</t>
  </si>
  <si>
    <t>This document describes the Minimum Baseline Security Standards (MBSS) which should be adhered to while configuring/implementing web applications. The document details out the relevant information security controls for web applications and serves as a template for assessment of compliance against the defined controls.
Controls in this document have been designed in reference with industry accepted web application security standards such as OWASP, Mitre and SANS (SWAT) along with industry leading practices. 
The recommended controls have been suggested from the perspective of addressing potential information security risks that the device may be exposed to. It is strongly recommended that a thorough assessment and testing of the impact be conducted, as per the organization's change management processes, prior to implementation of these controls.</t>
  </si>
  <si>
    <r>
      <t xml:space="preserve">General Instructions
A) 'Cover Page' - provides title, version and approver details of the document
B) 'Version </t>
    </r>
    <r>
      <rPr>
        <sz val="10"/>
        <rFont val="Arial"/>
        <family val="2"/>
      </rPr>
      <t xml:space="preserve">Control' - captures the document version record and updates details. All changes made to the document should be captured in the sheet as per the sections provided.
C) 'Document Overview' - provides an overview of the document along with the definitions of domains, planes and layers. It also comprises of a brief description of the elements </t>
    </r>
    <r>
      <rPr>
        <sz val="10"/>
        <color theme="1"/>
        <rFont val="Arial"/>
        <family val="2"/>
      </rPr>
      <t xml:space="preserve">for which this document is created and formulas used in document for arriving at the overall compliance score is described here. This section may be updated from time to time as per the changes in technology or the assessment methodology, etc.
D) 'MBSS Control Checklist' - comprises of essential controls for Web Application.
E) 'Dashboard' - Provides an overall view on the scope of assets coverage, controls implementation status and compliance status. It also acts as an input and reporting panel for both Implementer and CISO officer and provide graphical analysis of compliance and non compliance status as per reported by Implementer and CISO team.The dashboard reflects the overall compliance score which is calculated using the formula mentioned in this sheet under "Calculation of overall compliance score".
F) Columns in </t>
    </r>
    <r>
      <rPr>
        <sz val="10"/>
        <color theme="2" tint="-0.499984740745262"/>
        <rFont val="Arial"/>
        <family val="2"/>
      </rPr>
      <t>Brown</t>
    </r>
    <r>
      <rPr>
        <sz val="10"/>
        <color theme="1"/>
        <rFont val="Arial"/>
        <family val="2"/>
      </rPr>
      <t xml:space="preserve"> are required to be </t>
    </r>
    <r>
      <rPr>
        <sz val="10"/>
        <color theme="2" tint="-0.499984740745262"/>
        <rFont val="Arial"/>
        <family val="2"/>
      </rPr>
      <t>filled in by the</t>
    </r>
    <r>
      <rPr>
        <sz val="10"/>
        <color theme="1"/>
        <rFont val="Arial"/>
        <family val="2"/>
      </rPr>
      <t xml:space="preserve"> </t>
    </r>
    <r>
      <rPr>
        <sz val="10"/>
        <color theme="2" tint="-0.499984740745262"/>
        <rFont val="Arial"/>
        <family val="2"/>
      </rPr>
      <t>Implementer</t>
    </r>
    <r>
      <rPr>
        <sz val="10"/>
        <color theme="1"/>
        <rFont val="Arial"/>
        <family val="2"/>
      </rPr>
      <t xml:space="preserve"> while columns in </t>
    </r>
    <r>
      <rPr>
        <sz val="10"/>
        <color theme="8" tint="0.39997558519241921"/>
        <rFont val="Arial"/>
        <family val="2"/>
      </rPr>
      <t>Blue</t>
    </r>
    <r>
      <rPr>
        <sz val="10"/>
        <color theme="1"/>
        <rFont val="Arial"/>
        <family val="2"/>
      </rPr>
      <t xml:space="preserve"> are required to be </t>
    </r>
    <r>
      <rPr>
        <sz val="10"/>
        <color theme="8" tint="0.39997558519241921"/>
        <rFont val="Arial"/>
        <family val="2"/>
      </rPr>
      <t>filled in by the CISO</t>
    </r>
    <r>
      <rPr>
        <sz val="10"/>
        <color theme="1"/>
        <rFont val="Arial"/>
        <family val="2"/>
      </rPr>
      <t xml:space="preserve">.
</t>
    </r>
  </si>
  <si>
    <t>SANS (SWAT), CWE-209, CWE-391, CWE-778, CWE-532, CWE-533, OWASP A6</t>
  </si>
  <si>
    <t>SANS (SWAT), CWE-311, CWE-319, CWE-523, CWE-257, CWE-320, CWE-524, OWASP A6</t>
  </si>
  <si>
    <t>SANS (SWAT), CWE-798, CWE-640, CWE-521, CWE-307, CWE-257, CWE-250, OWASP A6, OWASP A2</t>
  </si>
  <si>
    <t>SANS (SWAT), CWE-6, CWE-384, CWE-613, CWE-79, CWE-614, OWASP A2, OWASP A3, OWASP A8</t>
  </si>
  <si>
    <t>SANS (SWAT), CWE-79, CWE-159, CWE-144, CWE-89, CWE-564, CWE-352, CWE-172, CWE-434, 616, CWE-22, CWE-430, CWE-20, CWE-346, CAPEC-103, CWE-693, CWE-692, OWASP A1, OWASP A3, OWASP A8</t>
  </si>
  <si>
    <t>SANS (SWAT), CWE-284, CWE-272, CWE-250, CWE-284, CWE-601, OWASP A4, OWASP A7, OWASP A10, OWASP A9</t>
  </si>
  <si>
    <t>Version 2 (October 2019)</t>
  </si>
  <si>
    <t>Final version</t>
  </si>
  <si>
    <t>Confidentiality</t>
  </si>
  <si>
    <t>Integrity</t>
  </si>
  <si>
    <t>Availability</t>
  </si>
  <si>
    <t>Host</t>
  </si>
  <si>
    <t>Network</t>
  </si>
  <si>
    <t>Total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</si>
</sst>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x14ac:knownFonts="1">
    <font>
      <sz val="11"/>
      <color theme="1"/>
      <name val="Calibri"/>
      <family val="2"/>
      <scheme val="minor"/>
    </font>
    <font>
      <sz val="10"/>
      <name val="Arial"/>
      <family val="2"/>
    </font>
    <font>
      <b/>
      <sz val="12"/>
      <color theme="1"/>
      <name val="Arial"/>
      <family val="2"/>
    </font>
    <font>
      <b/>
      <sz val="10"/>
      <color theme="1"/>
      <name val="Arial"/>
      <family val="2"/>
    </font>
    <font>
      <sz val="10"/>
      <color theme="1"/>
      <name val="Arial"/>
      <family val="2"/>
    </font>
    <font>
      <b/>
      <sz val="10"/>
      <color theme="0"/>
      <name val="Arial"/>
      <family val="2"/>
    </font>
    <font>
      <sz val="11"/>
      <color theme="1"/>
      <name val="Arial"/>
      <family val="2"/>
    </font>
    <font>
      <b/>
      <sz val="14"/>
      <color theme="4"/>
      <name val="Arial"/>
      <family val="2"/>
    </font>
    <font>
      <b/>
      <sz val="10"/>
      <color theme="4"/>
      <name val="Arial"/>
      <family val="2"/>
    </font>
    <font>
      <b/>
      <sz val="12"/>
      <color theme="0"/>
      <name val="Arial"/>
      <family val="2"/>
    </font>
    <font>
      <sz val="12"/>
      <color theme="0"/>
      <name val="Arial"/>
      <family val="2"/>
    </font>
    <font>
      <sz val="9"/>
      <color theme="1"/>
      <name val="Arial"/>
      <family val="2"/>
    </font>
    <font>
      <sz val="9"/>
      <color rgb="FF000000"/>
      <name val="Arial"/>
      <family val="2"/>
    </font>
    <font>
      <b/>
      <sz val="9"/>
      <color theme="0"/>
      <name val="Arial"/>
      <family val="2"/>
    </font>
    <font>
      <b/>
      <sz val="9"/>
      <color indexed="8"/>
      <name val="Arial"/>
      <family val="2"/>
    </font>
    <font>
      <b/>
      <sz val="10"/>
      <name val="Arial"/>
      <family val="2"/>
    </font>
    <font>
      <sz val="11"/>
      <color theme="1"/>
      <name val="Calibri"/>
      <family val="2"/>
      <scheme val="minor"/>
    </font>
    <font>
      <b/>
      <sz val="9"/>
      <color theme="1"/>
      <name val="Arial"/>
      <family val="2"/>
    </font>
    <font>
      <sz val="9"/>
      <name val="Arial"/>
      <family val="2"/>
    </font>
    <font>
      <sz val="10"/>
      <color theme="1"/>
      <name val="Calibri"/>
      <family val="2"/>
      <scheme val="minor"/>
    </font>
    <font>
      <sz val="9"/>
      <color theme="1"/>
      <name val="Calibri"/>
      <family val="2"/>
      <scheme val="minor"/>
    </font>
    <font>
      <b/>
      <sz val="9"/>
      <name val="Arial"/>
      <family val="2"/>
    </font>
    <font>
      <sz val="10"/>
      <name val="Calibri"/>
      <family val="2"/>
      <scheme val="minor"/>
    </font>
    <font>
      <b/>
      <sz val="11"/>
      <color theme="1"/>
      <name val="Calibri"/>
      <family val="2"/>
      <scheme val="minor"/>
    </font>
    <font>
      <b/>
      <sz val="18"/>
      <color theme="0"/>
      <name val="Arial"/>
      <family val="2"/>
    </font>
    <font>
      <b/>
      <sz val="12"/>
      <name val="Arial"/>
      <family val="2"/>
    </font>
    <font>
      <sz val="10"/>
      <color theme="2" tint="-0.499984740745262"/>
      <name val="Arial"/>
      <family val="2"/>
    </font>
    <font>
      <sz val="10"/>
      <color theme="8" tint="0.39997558519241921"/>
      <name val="Arial"/>
      <family val="2"/>
    </font>
    <font>
      <sz val="11"/>
      <name val="Arial"/>
      <family val="2"/>
    </font>
    <font>
      <sz val="8"/>
      <name val="Arial"/>
      <family val="2"/>
    </font>
    <font>
      <b/>
      <i/>
      <sz val="12"/>
      <name val="Arial"/>
      <family val="2"/>
    </font>
    <font>
      <sz val="11"/>
      <name val="Calibri"/>
      <family val="2"/>
      <scheme val="minor"/>
    </font>
  </fonts>
  <fills count="17">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theme="4"/>
        <bgColor indexed="64"/>
      </patternFill>
    </fill>
    <fill>
      <patternFill patternType="solid">
        <fgColor rgb="FF92D050"/>
        <bgColor indexed="31"/>
      </patternFill>
    </fill>
    <fill>
      <patternFill patternType="solid">
        <fgColor rgb="FF92D050"/>
        <bgColor indexed="64"/>
      </patternFill>
    </fill>
    <fill>
      <patternFill patternType="solid">
        <fgColor rgb="FF000080"/>
        <bgColor indexed="64"/>
      </patternFill>
    </fill>
    <fill>
      <patternFill patternType="solid">
        <fgColor rgb="FFFFFFFF"/>
        <bgColor indexed="64"/>
      </patternFill>
    </fill>
    <fill>
      <patternFill patternType="solid">
        <fgColor theme="0" tint="-4.9989318521683403E-2"/>
        <bgColor indexed="64"/>
      </patternFill>
    </fill>
    <fill>
      <patternFill patternType="solid">
        <fgColor rgb="FF0070C0"/>
        <bgColor indexed="31"/>
      </patternFill>
    </fill>
    <fill>
      <patternFill patternType="solid">
        <fgColor rgb="FFFFFFFF"/>
        <bgColor rgb="FF000000"/>
      </patternFill>
    </fill>
    <fill>
      <patternFill patternType="solid">
        <fgColor theme="4" tint="0.59999389629810485"/>
        <bgColor indexed="64"/>
      </patternFill>
    </fill>
    <fill>
      <patternFill patternType="solid">
        <fgColor theme="8" tint="0.39997558519241921"/>
        <bgColor indexed="64"/>
      </patternFill>
    </fill>
    <fill>
      <patternFill patternType="solid">
        <fgColor theme="2" tint="-0.249977111117893"/>
        <bgColor indexed="64"/>
      </patternFill>
    </fill>
    <fill>
      <patternFill patternType="solid">
        <fgColor theme="2" tint="-0.249977111117893"/>
        <bgColor indexed="31"/>
      </patternFill>
    </fill>
    <fill>
      <patternFill patternType="solid">
        <fgColor theme="8" tint="0.39997558519241921"/>
        <bgColor indexed="31"/>
      </patternFill>
    </fill>
  </fills>
  <borders count="26">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theme="0" tint="-0.499984740745262"/>
      </right>
      <top/>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diagonal/>
    </border>
    <border>
      <left style="medium">
        <color theme="0" tint="-0.499984740745262"/>
      </left>
      <right style="medium">
        <color theme="0" tint="-0.499984740745262"/>
      </right>
      <top/>
      <bottom style="medium">
        <color theme="0" tint="-0.499984740745262"/>
      </bottom>
      <diagonal/>
    </border>
  </borders>
  <cellStyleXfs count="3">
    <xf numFmtId="0" fontId="0" fillId="0" borderId="0"/>
    <xf numFmtId="0" fontId="1" fillId="0" borderId="0">
      <alignment vertical="center"/>
    </xf>
    <xf numFmtId="0" fontId="16" fillId="0" borderId="0"/>
  </cellStyleXfs>
  <cellXfs count="159">
    <xf numFmtId="0" fontId="0" fillId="0" borderId="0" xfId="0"/>
    <xf numFmtId="0" fontId="6" fillId="0" borderId="0" xfId="0" applyFont="1"/>
    <xf numFmtId="0" fontId="4" fillId="0" borderId="2" xfId="0" applyFont="1" applyBorder="1" applyAlignment="1">
      <alignment horizontal="center" vertical="center" wrapText="1"/>
    </xf>
    <xf numFmtId="0" fontId="4" fillId="0" borderId="2" xfId="0" applyNumberFormat="1" applyFont="1" applyBorder="1" applyAlignment="1">
      <alignment vertical="center" wrapText="1"/>
    </xf>
    <xf numFmtId="0" fontId="3" fillId="0" borderId="2" xfId="0" applyFont="1" applyBorder="1" applyAlignment="1">
      <alignment horizontal="center" vertical="center" wrapText="1"/>
    </xf>
    <xf numFmtId="0" fontId="4" fillId="0" borderId="2" xfId="0" applyFont="1" applyBorder="1" applyAlignment="1">
      <alignment vertical="center" wrapText="1"/>
    </xf>
    <xf numFmtId="0" fontId="4" fillId="0" borderId="0" xfId="0" applyFont="1" applyBorder="1" applyAlignment="1">
      <alignment horizontal="center" vertical="center" wrapText="1"/>
    </xf>
    <xf numFmtId="0" fontId="4" fillId="0" borderId="0" xfId="0" applyFont="1" applyBorder="1" applyAlignment="1">
      <alignment vertical="center" wrapText="1"/>
    </xf>
    <xf numFmtId="0" fontId="12" fillId="11" borderId="2" xfId="0" applyFont="1" applyFill="1" applyBorder="1" applyAlignment="1" applyProtection="1">
      <alignment horizontal="left" vertical="center" wrapText="1"/>
      <protection locked="0"/>
    </xf>
    <xf numFmtId="0" fontId="13" fillId="7" borderId="2" xfId="0" applyFont="1" applyFill="1" applyBorder="1" applyAlignment="1">
      <alignment horizontal="center" vertical="center" wrapText="1"/>
    </xf>
    <xf numFmtId="0" fontId="6" fillId="0" borderId="0" xfId="0" applyFont="1" applyAlignment="1">
      <alignment horizontal="center" vertical="center"/>
    </xf>
    <xf numFmtId="0" fontId="4" fillId="0" borderId="0" xfId="0" applyFont="1" applyAlignment="1">
      <alignment vertical="center" wrapText="1"/>
    </xf>
    <xf numFmtId="0" fontId="8" fillId="0" borderId="0" xfId="0" applyFont="1" applyAlignment="1">
      <alignment horizontal="center" vertical="center"/>
    </xf>
    <xf numFmtId="0" fontId="4" fillId="0" borderId="0" xfId="0" applyFont="1" applyBorder="1" applyAlignment="1">
      <alignment horizontal="left" vertical="center" wrapText="1"/>
    </xf>
    <xf numFmtId="0" fontId="4" fillId="0" borderId="18" xfId="0" applyFont="1" applyBorder="1" applyAlignment="1">
      <alignment vertical="center" wrapText="1"/>
    </xf>
    <xf numFmtId="0" fontId="1" fillId="0" borderId="2" xfId="0" applyFont="1" applyBorder="1" applyAlignment="1">
      <alignment vertical="center" wrapText="1"/>
    </xf>
    <xf numFmtId="0" fontId="11" fillId="0" borderId="0" xfId="0" applyFont="1" applyAlignment="1">
      <alignment vertical="center"/>
    </xf>
    <xf numFmtId="0" fontId="11" fillId="0" borderId="0" xfId="0" applyFont="1" applyAlignment="1">
      <alignment horizontal="left" vertical="center"/>
    </xf>
    <xf numFmtId="1" fontId="14" fillId="5" borderId="2" xfId="1" applyNumberFormat="1" applyFont="1" applyFill="1" applyBorder="1" applyAlignment="1" applyProtection="1">
      <alignment horizontal="center" vertical="center" wrapText="1"/>
    </xf>
    <xf numFmtId="1" fontId="13" fillId="10" borderId="2" xfId="1" applyNumberFormat="1" applyFont="1" applyFill="1" applyBorder="1" applyAlignment="1" applyProtection="1">
      <alignment horizontal="center" vertical="center" wrapText="1"/>
    </xf>
    <xf numFmtId="0" fontId="11" fillId="0" borderId="0" xfId="0" applyFont="1" applyAlignment="1" applyProtection="1">
      <alignment vertical="center"/>
      <protection locked="0"/>
    </xf>
    <xf numFmtId="0" fontId="11" fillId="0" borderId="0" xfId="0" applyFont="1" applyAlignment="1">
      <alignment horizontal="center" vertical="center"/>
    </xf>
    <xf numFmtId="0" fontId="12" fillId="0" borderId="2" xfId="0" quotePrefix="1" applyFont="1" applyFill="1" applyBorder="1" applyAlignment="1" applyProtection="1">
      <alignment horizontal="center" vertical="center" wrapText="1"/>
    </xf>
    <xf numFmtId="0" fontId="11" fillId="0" borderId="0" xfId="0" applyFont="1" applyAlignment="1" applyProtection="1">
      <alignment vertical="center"/>
    </xf>
    <xf numFmtId="0" fontId="4" fillId="0" borderId="2" xfId="0" applyFont="1" applyBorder="1" applyAlignment="1">
      <alignment horizontal="center" wrapText="1"/>
    </xf>
    <xf numFmtId="0" fontId="3" fillId="6" borderId="2" xfId="0" applyFont="1" applyFill="1" applyBorder="1" applyAlignment="1">
      <alignment horizontal="center" wrapText="1"/>
    </xf>
    <xf numFmtId="0" fontId="4" fillId="0" borderId="2" xfId="0" applyFont="1" applyBorder="1" applyAlignment="1">
      <alignment wrapText="1"/>
    </xf>
    <xf numFmtId="0" fontId="15" fillId="2" borderId="2" xfId="0" applyFont="1" applyFill="1" applyBorder="1" applyAlignment="1">
      <alignment horizontal="center" wrapText="1"/>
    </xf>
    <xf numFmtId="0" fontId="15" fillId="12" borderId="2" xfId="0" applyFont="1" applyFill="1" applyBorder="1" applyAlignment="1">
      <alignment horizontal="center" vertical="center" wrapText="1"/>
    </xf>
    <xf numFmtId="0" fontId="11" fillId="3" borderId="1" xfId="0" applyFont="1" applyFill="1" applyBorder="1" applyAlignment="1" applyProtection="1">
      <alignment horizontal="center" vertical="center" wrapText="1"/>
      <protection locked="0"/>
    </xf>
    <xf numFmtId="0" fontId="9" fillId="3" borderId="0" xfId="0" applyFont="1" applyFill="1" applyBorder="1" applyAlignment="1">
      <alignment horizontal="center" vertical="center" wrapText="1"/>
    </xf>
    <xf numFmtId="0" fontId="4" fillId="3" borderId="0" xfId="0" applyFont="1" applyFill="1" applyBorder="1" applyAlignment="1">
      <alignment horizontal="center" vertical="center" wrapText="1"/>
    </xf>
    <xf numFmtId="49" fontId="0" fillId="0" borderId="0" xfId="0" applyNumberFormat="1"/>
    <xf numFmtId="49" fontId="6" fillId="0" borderId="0" xfId="0" applyNumberFormat="1" applyFont="1" applyAlignment="1">
      <alignment horizontal="center" vertical="center"/>
    </xf>
    <xf numFmtId="49" fontId="13" fillId="7" borderId="2" xfId="0" applyNumberFormat="1" applyFont="1" applyFill="1" applyBorder="1" applyAlignment="1">
      <alignment horizontal="center" vertical="center" wrapText="1"/>
    </xf>
    <xf numFmtId="0" fontId="0" fillId="0" borderId="0" xfId="0" applyFont="1"/>
    <xf numFmtId="0" fontId="5" fillId="0" borderId="0" xfId="0" applyFont="1" applyFill="1" applyBorder="1" applyAlignment="1">
      <alignment vertical="center" wrapText="1"/>
    </xf>
    <xf numFmtId="0" fontId="19" fillId="0" borderId="0" xfId="0" applyFont="1"/>
    <xf numFmtId="0" fontId="17" fillId="3" borderId="2" xfId="0" applyFont="1" applyFill="1" applyBorder="1" applyAlignment="1">
      <alignment horizontal="left"/>
    </xf>
    <xf numFmtId="0" fontId="17" fillId="0" borderId="2" xfId="0" applyFont="1" applyBorder="1" applyAlignment="1">
      <alignment horizontal="left"/>
    </xf>
    <xf numFmtId="0" fontId="0" fillId="0" borderId="0" xfId="0" applyFill="1"/>
    <xf numFmtId="0" fontId="17" fillId="9" borderId="2" xfId="0" applyFont="1" applyFill="1" applyBorder="1"/>
    <xf numFmtId="0" fontId="20" fillId="0" borderId="0" xfId="0" applyFont="1" applyFill="1"/>
    <xf numFmtId="0" fontId="21" fillId="9" borderId="2" xfId="0" applyFont="1" applyFill="1" applyBorder="1" applyAlignment="1">
      <alignment horizontal="center" vertical="center" wrapText="1"/>
    </xf>
    <xf numFmtId="0" fontId="6" fillId="0" borderId="0" xfId="0" applyFont="1" applyBorder="1"/>
    <xf numFmtId="0" fontId="17" fillId="0" borderId="2" xfId="0" applyFont="1" applyFill="1" applyBorder="1" applyAlignment="1">
      <alignment horizontal="left"/>
    </xf>
    <xf numFmtId="0" fontId="22" fillId="0" borderId="0" xfId="0" applyFont="1" applyFill="1"/>
    <xf numFmtId="0" fontId="23" fillId="0" borderId="0" xfId="0" applyFont="1"/>
    <xf numFmtId="0" fontId="23" fillId="0" borderId="0" xfId="0" applyFont="1" applyAlignment="1">
      <alignment horizontal="center"/>
    </xf>
    <xf numFmtId="0" fontId="2" fillId="0" borderId="14" xfId="0" applyFont="1" applyBorder="1" applyAlignment="1">
      <alignment vertical="center" wrapText="1"/>
    </xf>
    <xf numFmtId="0" fontId="9" fillId="4" borderId="2" xfId="0" applyFont="1" applyFill="1" applyBorder="1" applyAlignment="1">
      <alignment horizontal="center" vertical="center" wrapText="1"/>
    </xf>
    <xf numFmtId="0" fontId="7" fillId="0" borderId="0" xfId="0" applyFont="1" applyAlignment="1">
      <alignment vertical="center"/>
    </xf>
    <xf numFmtId="0" fontId="18" fillId="13" borderId="2" xfId="0" applyFont="1" applyFill="1" applyBorder="1" applyAlignment="1">
      <alignment horizontal="center" vertical="center" wrapText="1"/>
    </xf>
    <xf numFmtId="0" fontId="18" fillId="13" borderId="2" xfId="0" applyFont="1" applyFill="1" applyBorder="1" applyAlignment="1" applyProtection="1">
      <alignment vertical="center" wrapText="1"/>
      <protection locked="0"/>
    </xf>
    <xf numFmtId="0" fontId="18" fillId="0" borderId="2" xfId="0" applyFont="1" applyFill="1" applyBorder="1" applyAlignment="1" applyProtection="1">
      <alignment vertical="center" wrapText="1"/>
      <protection locked="0"/>
    </xf>
    <xf numFmtId="0" fontId="18" fillId="14" borderId="2" xfId="0" applyFont="1" applyFill="1" applyBorder="1" applyAlignment="1" applyProtection="1">
      <alignment horizontal="center" vertical="center" wrapText="1"/>
      <protection locked="0"/>
    </xf>
    <xf numFmtId="0" fontId="18" fillId="14" borderId="2" xfId="0" applyFont="1" applyFill="1" applyBorder="1" applyAlignment="1" applyProtection="1">
      <alignment vertical="center" wrapText="1"/>
      <protection locked="0"/>
    </xf>
    <xf numFmtId="0" fontId="11" fillId="14" borderId="2" xfId="0" applyFont="1" applyFill="1" applyBorder="1"/>
    <xf numFmtId="0" fontId="13" fillId="14" borderId="2" xfId="0" applyFont="1" applyFill="1" applyBorder="1" applyAlignment="1">
      <alignment vertical="center" wrapText="1"/>
    </xf>
    <xf numFmtId="0" fontId="3" fillId="6" borderId="2" xfId="0" applyFont="1" applyFill="1" applyBorder="1" applyAlignment="1">
      <alignment horizontal="center" vertical="center" wrapText="1"/>
    </xf>
    <xf numFmtId="0" fontId="15" fillId="2" borderId="2" xfId="0" applyFont="1" applyFill="1" applyBorder="1" applyAlignment="1">
      <alignment horizontal="center" vertical="center" wrapText="1"/>
    </xf>
    <xf numFmtId="1" fontId="14" fillId="15" borderId="2" xfId="1" applyNumberFormat="1" applyFont="1" applyFill="1" applyBorder="1" applyAlignment="1" applyProtection="1">
      <alignment horizontal="center" vertical="center" wrapText="1"/>
      <protection locked="0"/>
    </xf>
    <xf numFmtId="1" fontId="21" fillId="16" borderId="2" xfId="1" applyNumberFormat="1" applyFont="1" applyFill="1" applyBorder="1" applyAlignment="1" applyProtection="1">
      <alignment horizontal="center" vertical="center" wrapText="1"/>
    </xf>
    <xf numFmtId="0" fontId="9" fillId="4" borderId="2" xfId="0" applyFont="1" applyFill="1" applyBorder="1" applyAlignment="1">
      <alignment horizontal="center" vertical="center" wrapText="1"/>
    </xf>
    <xf numFmtId="0" fontId="28" fillId="0" borderId="0" xfId="0" applyFont="1"/>
    <xf numFmtId="0" fontId="29" fillId="0" borderId="6" xfId="0" applyFont="1" applyBorder="1" applyAlignment="1">
      <alignment vertical="center" wrapText="1"/>
    </xf>
    <xf numFmtId="0" fontId="31" fillId="0" borderId="0" xfId="0" applyFont="1"/>
    <xf numFmtId="0" fontId="18" fillId="8" borderId="2" xfId="0" applyFont="1" applyFill="1" applyBorder="1" applyAlignment="1">
      <alignment horizontal="center" vertical="center" wrapText="1"/>
    </xf>
    <xf numFmtId="49" fontId="18" fillId="8" borderId="2" xfId="0" applyNumberFormat="1" applyFont="1" applyFill="1" applyBorder="1" applyAlignment="1">
      <alignment horizontal="center" vertical="center" wrapText="1"/>
    </xf>
    <xf numFmtId="49" fontId="31" fillId="0" borderId="0" xfId="0" applyNumberFormat="1" applyFont="1"/>
    <xf numFmtId="0" fontId="1" fillId="3" borderId="2" xfId="0" applyFont="1" applyFill="1" applyBorder="1" applyAlignment="1">
      <alignment vertical="center" wrapText="1"/>
    </xf>
    <xf numFmtId="0" fontId="18" fillId="0" borderId="2" xfId="2" applyFont="1" applyFill="1" applyBorder="1" applyAlignment="1">
      <alignment horizontal="center" vertical="top" wrapText="1"/>
    </xf>
    <xf numFmtId="0" fontId="18" fillId="0" borderId="2" xfId="0" applyFont="1" applyFill="1" applyBorder="1" applyAlignment="1">
      <alignment horizontal="left" vertical="top" wrapText="1"/>
    </xf>
    <xf numFmtId="0" fontId="21" fillId="9" borderId="4" xfId="0" applyFont="1" applyFill="1" applyBorder="1" applyAlignment="1">
      <alignment horizontal="center" vertical="center" wrapText="1"/>
    </xf>
    <xf numFmtId="0" fontId="17" fillId="0" borderId="4" xfId="0" applyFont="1" applyFill="1" applyBorder="1" applyAlignment="1">
      <alignment horizontal="left"/>
    </xf>
    <xf numFmtId="0" fontId="17" fillId="0" borderId="4" xfId="0" applyFont="1" applyFill="1" applyBorder="1" applyAlignment="1">
      <alignment horizontal="left" wrapText="1"/>
    </xf>
    <xf numFmtId="0" fontId="17" fillId="0" borderId="2" xfId="0" applyFont="1" applyBorder="1" applyAlignment="1">
      <alignment horizontal="center" vertical="center" wrapText="1"/>
    </xf>
    <xf numFmtId="0" fontId="11" fillId="0" borderId="2" xfId="0" applyFont="1" applyBorder="1" applyAlignment="1">
      <alignment horizontal="left" vertical="center" wrapText="1"/>
    </xf>
    <xf numFmtId="0" fontId="11" fillId="0" borderId="2" xfId="0" applyFont="1" applyBorder="1" applyAlignment="1">
      <alignment horizontal="center" vertical="center" wrapText="1"/>
    </xf>
    <xf numFmtId="0" fontId="11" fillId="0" borderId="0" xfId="0" applyFont="1" applyAlignment="1">
      <alignment wrapText="1"/>
    </xf>
    <xf numFmtId="0" fontId="11" fillId="0" borderId="2" xfId="0" applyFont="1" applyFill="1" applyBorder="1" applyAlignment="1">
      <alignment horizontal="left" vertical="center" wrapText="1"/>
    </xf>
    <xf numFmtId="0" fontId="11" fillId="0" borderId="2" xfId="0" applyFont="1" applyBorder="1" applyAlignment="1">
      <alignment horizontal="center" wrapText="1"/>
    </xf>
    <xf numFmtId="0" fontId="11" fillId="0" borderId="2" xfId="0" applyFont="1" applyBorder="1" applyAlignment="1">
      <alignment wrapText="1"/>
    </xf>
    <xf numFmtId="10" fontId="11" fillId="0" borderId="2" xfId="0" applyNumberFormat="1" applyFont="1" applyBorder="1" applyAlignment="1">
      <alignment horizontal="center" vertical="center" wrapText="1"/>
    </xf>
    <xf numFmtId="0" fontId="25" fillId="0" borderId="23" xfId="0" applyFont="1" applyBorder="1" applyAlignment="1">
      <alignment horizontal="center" vertical="center" wrapText="1"/>
    </xf>
    <xf numFmtId="0" fontId="25" fillId="0" borderId="24" xfId="0" applyFont="1" applyBorder="1" applyAlignment="1">
      <alignment horizontal="center" vertical="center" wrapText="1"/>
    </xf>
    <xf numFmtId="0" fontId="25" fillId="0" borderId="25" xfId="0" applyFont="1" applyBorder="1" applyAlignment="1">
      <alignment horizontal="center" vertical="center" wrapText="1"/>
    </xf>
    <xf numFmtId="0" fontId="25" fillId="0" borderId="11" xfId="0" applyFont="1" applyBorder="1" applyAlignment="1">
      <alignment horizontal="center" vertical="center" wrapText="1"/>
    </xf>
    <xf numFmtId="0" fontId="25" fillId="0" borderId="12" xfId="0" applyFont="1" applyBorder="1" applyAlignment="1">
      <alignment horizontal="center" vertical="center" wrapText="1"/>
    </xf>
    <xf numFmtId="0" fontId="25" fillId="0" borderId="13" xfId="0" applyFont="1" applyBorder="1" applyAlignment="1">
      <alignment horizontal="center" vertical="center" wrapText="1"/>
    </xf>
    <xf numFmtId="0" fontId="25" fillId="0" borderId="14" xfId="0" applyFont="1" applyBorder="1" applyAlignment="1">
      <alignment horizontal="center" vertical="center" wrapText="1"/>
    </xf>
    <xf numFmtId="0" fontId="25" fillId="0" borderId="0" xfId="0" applyFont="1" applyBorder="1" applyAlignment="1">
      <alignment horizontal="center" vertical="center" wrapText="1"/>
    </xf>
    <xf numFmtId="0" fontId="25" fillId="0" borderId="10" xfId="0" applyFont="1" applyBorder="1" applyAlignment="1">
      <alignment horizontal="center" vertical="center" wrapText="1"/>
    </xf>
    <xf numFmtId="0" fontId="25" fillId="0" borderId="15" xfId="0" applyFont="1" applyBorder="1" applyAlignment="1">
      <alignment horizontal="center" vertical="center" wrapText="1"/>
    </xf>
    <xf numFmtId="0" fontId="25" fillId="0" borderId="16" xfId="0" applyFont="1" applyBorder="1" applyAlignment="1">
      <alignment horizontal="center" vertical="center" wrapText="1"/>
    </xf>
    <xf numFmtId="0" fontId="25" fillId="0" borderId="17" xfId="0" applyFont="1" applyBorder="1" applyAlignment="1">
      <alignment horizontal="center" vertical="center" wrapText="1"/>
    </xf>
    <xf numFmtId="0" fontId="30" fillId="0" borderId="12" xfId="0" applyFont="1" applyBorder="1" applyAlignment="1">
      <alignment horizontal="center" vertical="center" wrapText="1"/>
    </xf>
    <xf numFmtId="0" fontId="30" fillId="0" borderId="13" xfId="0" applyFont="1" applyBorder="1" applyAlignment="1">
      <alignment horizontal="center" vertical="center" wrapText="1"/>
    </xf>
    <xf numFmtId="0" fontId="30" fillId="0" borderId="0" xfId="0" applyFont="1" applyBorder="1" applyAlignment="1">
      <alignment horizontal="center" vertical="center" wrapText="1"/>
    </xf>
    <xf numFmtId="0" fontId="30" fillId="0" borderId="10" xfId="0" applyFont="1" applyBorder="1" applyAlignment="1">
      <alignment horizontal="center" vertical="center" wrapText="1"/>
    </xf>
    <xf numFmtId="0" fontId="30" fillId="0" borderId="16" xfId="0" applyFont="1" applyBorder="1" applyAlignment="1">
      <alignment horizontal="center" vertical="center" wrapText="1"/>
    </xf>
    <xf numFmtId="0" fontId="30" fillId="0" borderId="17" xfId="0" applyFont="1" applyBorder="1" applyAlignment="1">
      <alignment horizontal="center" vertical="center" wrapText="1"/>
    </xf>
    <xf numFmtId="0" fontId="2" fillId="0" borderId="23" xfId="0" applyFont="1" applyBorder="1" applyAlignment="1">
      <alignment horizontal="center" vertical="center" wrapText="1"/>
    </xf>
    <xf numFmtId="0" fontId="2" fillId="0" borderId="24" xfId="0" applyFont="1" applyBorder="1" applyAlignment="1">
      <alignment horizontal="center" vertical="center" wrapText="1"/>
    </xf>
    <xf numFmtId="0" fontId="2" fillId="0" borderId="25" xfId="0" applyFont="1" applyBorder="1" applyAlignment="1">
      <alignment horizontal="center" vertical="center" wrapText="1"/>
    </xf>
    <xf numFmtId="0" fontId="6" fillId="0" borderId="7" xfId="0" applyFont="1" applyBorder="1" applyAlignment="1"/>
    <xf numFmtId="0" fontId="6" fillId="0" borderId="8" xfId="0" applyFont="1" applyBorder="1" applyAlignment="1"/>
    <xf numFmtId="0" fontId="6" fillId="0" borderId="9" xfId="0" applyFont="1" applyBorder="1" applyAlignment="1"/>
    <xf numFmtId="0" fontId="29" fillId="0" borderId="7" xfId="0" applyFont="1" applyBorder="1" applyAlignment="1">
      <alignment vertical="center" wrapText="1"/>
    </xf>
    <xf numFmtId="0" fontId="29" fillId="0" borderId="8" xfId="0" applyFont="1" applyBorder="1" applyAlignment="1">
      <alignment vertical="center" wrapText="1"/>
    </xf>
    <xf numFmtId="0" fontId="29" fillId="0" borderId="9" xfId="0" applyFont="1" applyBorder="1" applyAlignment="1">
      <alignment vertical="center" wrapText="1"/>
    </xf>
    <xf numFmtId="0" fontId="29" fillId="0" borderId="7" xfId="0" applyFont="1" applyBorder="1" applyAlignment="1">
      <alignment horizontal="center" vertical="center" wrapText="1"/>
    </xf>
    <xf numFmtId="0" fontId="29" fillId="0" borderId="8" xfId="0" applyFont="1" applyBorder="1" applyAlignment="1">
      <alignment horizontal="center" vertical="center" wrapText="1"/>
    </xf>
    <xf numFmtId="0" fontId="29" fillId="0" borderId="9" xfId="0" applyFont="1" applyBorder="1" applyAlignment="1">
      <alignment horizontal="center" vertical="center" wrapText="1"/>
    </xf>
    <xf numFmtId="0" fontId="7" fillId="0" borderId="0" xfId="0" applyFont="1" applyAlignment="1">
      <alignment horizontal="center" vertical="center"/>
    </xf>
    <xf numFmtId="0" fontId="4" fillId="0" borderId="2" xfId="0" applyFont="1" applyFill="1" applyBorder="1" applyAlignment="1">
      <alignment horizontal="left" vertical="top" wrapText="1"/>
    </xf>
    <xf numFmtId="0" fontId="9" fillId="4" borderId="2" xfId="0" applyFont="1" applyFill="1" applyBorder="1" applyAlignment="1">
      <alignment horizontal="center" vertical="center" wrapText="1"/>
    </xf>
    <xf numFmtId="0" fontId="10" fillId="4" borderId="2" xfId="0" applyFont="1" applyFill="1" applyBorder="1" applyAlignment="1">
      <alignment vertical="center"/>
    </xf>
    <xf numFmtId="0" fontId="4" fillId="0" borderId="2" xfId="0" applyFont="1" applyBorder="1" applyAlignment="1">
      <alignment horizontal="left" vertical="top" wrapText="1"/>
    </xf>
    <xf numFmtId="0" fontId="4" fillId="0" borderId="2" xfId="0" applyFont="1" applyBorder="1" applyAlignment="1" applyProtection="1">
      <alignment horizontal="left" vertical="top" wrapText="1"/>
      <protection locked="0"/>
    </xf>
    <xf numFmtId="0" fontId="9" fillId="4" borderId="4" xfId="0" applyFont="1" applyFill="1" applyBorder="1" applyAlignment="1">
      <alignment horizontal="center" vertical="center" wrapText="1"/>
    </xf>
    <xf numFmtId="0" fontId="9" fillId="4" borderId="5" xfId="0" applyFont="1" applyFill="1" applyBorder="1" applyAlignment="1">
      <alignment horizontal="center" vertical="center" wrapText="1"/>
    </xf>
    <xf numFmtId="0" fontId="9" fillId="4" borderId="3" xfId="0" applyFont="1" applyFill="1" applyBorder="1" applyAlignment="1">
      <alignment horizontal="center" vertical="center" wrapText="1"/>
    </xf>
    <xf numFmtId="0" fontId="11" fillId="0" borderId="2" xfId="0" applyFont="1" applyFill="1" applyBorder="1" applyAlignment="1" applyProtection="1">
      <alignment horizontal="center" vertical="center" wrapText="1"/>
      <protection locked="0"/>
    </xf>
    <xf numFmtId="10" fontId="11" fillId="0" borderId="2" xfId="0" applyNumberFormat="1" applyFont="1" applyFill="1" applyBorder="1" applyAlignment="1">
      <alignment horizontal="center" vertical="center" wrapText="1"/>
    </xf>
    <xf numFmtId="0" fontId="18" fillId="14" borderId="4" xfId="0" applyFont="1" applyFill="1" applyBorder="1" applyAlignment="1" applyProtection="1">
      <alignment horizontal="center" vertical="center" wrapText="1"/>
      <protection locked="0"/>
    </xf>
    <xf numFmtId="0" fontId="18" fillId="14" borderId="5" xfId="0" applyFont="1" applyFill="1" applyBorder="1" applyAlignment="1" applyProtection="1">
      <alignment horizontal="center" vertical="center" wrapText="1"/>
      <protection locked="0"/>
    </xf>
    <xf numFmtId="0" fontId="18" fillId="14" borderId="3" xfId="0" applyFont="1" applyFill="1" applyBorder="1" applyAlignment="1" applyProtection="1">
      <alignment horizontal="center" vertical="center" wrapText="1"/>
      <protection locked="0"/>
    </xf>
    <xf numFmtId="0" fontId="5" fillId="7" borderId="2" xfId="0" applyFont="1" applyFill="1" applyBorder="1" applyAlignment="1">
      <alignment horizontal="center" vertical="center" wrapText="1"/>
    </xf>
    <xf numFmtId="0" fontId="5" fillId="7" borderId="22" xfId="0" applyFont="1" applyFill="1" applyBorder="1" applyAlignment="1">
      <alignment horizontal="center" vertical="center" wrapText="1"/>
    </xf>
    <xf numFmtId="0" fontId="21" fillId="9" borderId="4" xfId="0" applyFont="1" applyFill="1" applyBorder="1" applyAlignment="1">
      <alignment horizontal="center" vertical="center" wrapText="1"/>
    </xf>
    <xf numFmtId="0" fontId="21" fillId="9" borderId="5" xfId="0" applyFont="1" applyFill="1" applyBorder="1" applyAlignment="1">
      <alignment horizontal="center" vertical="center" wrapText="1"/>
    </xf>
    <xf numFmtId="0" fontId="21" fillId="9" borderId="3" xfId="0" applyFont="1" applyFill="1" applyBorder="1" applyAlignment="1">
      <alignment horizontal="center" vertical="center" wrapText="1"/>
    </xf>
    <xf numFmtId="0" fontId="21" fillId="9" borderId="2" xfId="0" applyFont="1" applyFill="1" applyBorder="1" applyAlignment="1">
      <alignment horizontal="center" vertical="center" wrapText="1"/>
    </xf>
    <xf numFmtId="0" fontId="18" fillId="14" borderId="2" xfId="0" applyFont="1" applyFill="1" applyBorder="1" applyAlignment="1" applyProtection="1">
      <alignment horizontal="center" vertical="center" wrapText="1"/>
      <protection locked="0"/>
    </xf>
    <xf numFmtId="0" fontId="18" fillId="0" borderId="2" xfId="0" applyFont="1" applyFill="1" applyBorder="1" applyAlignment="1" applyProtection="1">
      <alignment horizontal="center" vertical="center" wrapText="1"/>
      <protection locked="0"/>
    </xf>
    <xf numFmtId="0" fontId="18" fillId="0" borderId="2" xfId="0" applyFont="1" applyBorder="1" applyAlignment="1" applyProtection="1">
      <alignment horizontal="center" vertical="center" wrapText="1"/>
      <protection locked="0"/>
    </xf>
    <xf numFmtId="0" fontId="18" fillId="14" borderId="2" xfId="0" applyFont="1" applyFill="1" applyBorder="1" applyAlignment="1">
      <alignment horizontal="center"/>
    </xf>
    <xf numFmtId="0" fontId="11" fillId="14" borderId="2" xfId="0" applyFont="1" applyFill="1" applyBorder="1" applyAlignment="1">
      <alignment horizontal="center"/>
    </xf>
    <xf numFmtId="0" fontId="18" fillId="13" borderId="2" xfId="0" applyFont="1" applyFill="1" applyBorder="1" applyAlignment="1" applyProtection="1">
      <alignment horizontal="center" vertical="center" wrapText="1"/>
      <protection locked="0"/>
    </xf>
    <xf numFmtId="0" fontId="5" fillId="7" borderId="4" xfId="0" applyFont="1" applyFill="1" applyBorder="1" applyAlignment="1">
      <alignment horizontal="center" vertical="center" wrapText="1"/>
    </xf>
    <xf numFmtId="0" fontId="5" fillId="7" borderId="5" xfId="0" applyFont="1" applyFill="1" applyBorder="1" applyAlignment="1">
      <alignment horizontal="center" vertical="center" wrapText="1"/>
    </xf>
    <xf numFmtId="0" fontId="5" fillId="7" borderId="3" xfId="0" applyFont="1" applyFill="1" applyBorder="1" applyAlignment="1">
      <alignment horizontal="center" vertical="center" wrapText="1"/>
    </xf>
    <xf numFmtId="0" fontId="17" fillId="0" borderId="22" xfId="0" applyFont="1" applyBorder="1" applyAlignment="1">
      <alignment horizontal="center" vertical="center" wrapText="1"/>
    </xf>
    <xf numFmtId="0" fontId="17" fillId="0" borderId="21" xfId="0" applyFont="1" applyBorder="1" applyAlignment="1">
      <alignment horizontal="center" vertical="center" wrapText="1"/>
    </xf>
    <xf numFmtId="0" fontId="17" fillId="0" borderId="1" xfId="0" applyFont="1" applyBorder="1" applyAlignment="1">
      <alignment horizontal="center" vertical="center" wrapText="1"/>
    </xf>
    <xf numFmtId="0" fontId="24" fillId="7" borderId="4" xfId="0" applyFont="1" applyFill="1" applyBorder="1" applyAlignment="1">
      <alignment horizontal="left" vertical="center" wrapText="1"/>
    </xf>
    <xf numFmtId="0" fontId="24" fillId="7" borderId="5" xfId="0" applyFont="1" applyFill="1" applyBorder="1" applyAlignment="1">
      <alignment horizontal="left" vertical="center" wrapText="1"/>
    </xf>
    <xf numFmtId="10" fontId="11" fillId="0" borderId="4" xfId="0" applyNumberFormat="1" applyFont="1" applyFill="1" applyBorder="1" applyAlignment="1">
      <alignment horizontal="center" vertical="center" wrapText="1"/>
    </xf>
    <xf numFmtId="10" fontId="11" fillId="0" borderId="5" xfId="0" applyNumberFormat="1" applyFont="1" applyFill="1" applyBorder="1" applyAlignment="1">
      <alignment horizontal="center" vertical="center" wrapText="1"/>
    </xf>
    <xf numFmtId="10" fontId="11" fillId="0" borderId="3" xfId="0" applyNumberFormat="1" applyFont="1" applyFill="1" applyBorder="1" applyAlignment="1">
      <alignment horizontal="center" vertical="center" wrapText="1"/>
    </xf>
    <xf numFmtId="0" fontId="18" fillId="13" borderId="4" xfId="0" applyFont="1" applyFill="1" applyBorder="1" applyAlignment="1">
      <alignment horizontal="center" vertical="center" wrapText="1"/>
    </xf>
    <xf numFmtId="0" fontId="18" fillId="13" borderId="5" xfId="0" applyFont="1" applyFill="1" applyBorder="1" applyAlignment="1">
      <alignment horizontal="center" vertical="center" wrapText="1"/>
    </xf>
    <xf numFmtId="0" fontId="18" fillId="13" borderId="3" xfId="0" applyFont="1" applyFill="1" applyBorder="1" applyAlignment="1">
      <alignment horizontal="center" vertical="center" wrapText="1"/>
    </xf>
    <xf numFmtId="0" fontId="24" fillId="7" borderId="19" xfId="0" applyFont="1" applyFill="1" applyBorder="1" applyAlignment="1">
      <alignment horizontal="left" vertical="center" wrapText="1"/>
    </xf>
    <xf numFmtId="0" fontId="24" fillId="7" borderId="0" xfId="0" applyFont="1" applyFill="1" applyBorder="1" applyAlignment="1">
      <alignment horizontal="left" vertical="center" wrapText="1"/>
    </xf>
    <xf numFmtId="0" fontId="24" fillId="7" borderId="20" xfId="0" applyFont="1" applyFill="1" applyBorder="1" applyAlignment="1">
      <alignment horizontal="left" vertical="center" wrapText="1"/>
    </xf>
    <xf numFmtId="10" fontId="11" fillId="0" borderId="2" xfId="0" applyNumberFormat="1" applyFont="1" applyFill="1" applyBorder="1" applyAlignment="1" applyProtection="1">
      <alignment horizontal="center" vertical="center" wrapText="1"/>
    </xf>
    <xf numFmtId="0" fontId="0" fillId="0" borderId="0" xfId="0" applyAlignment="1">
      <alignment horizontal="center"/>
    </xf>
  </cellXfs>
  <cellStyles count="3">
    <cellStyle name="Normal" xfId="0" builtinId="0"/>
    <cellStyle name="Normal 2" xfId="1" xr:uid="{00000000-0005-0000-0000-000001000000}"/>
    <cellStyle name="Normal 3" xfId="2" xr:uid="{00000000-0005-0000-0000-000002000000}"/>
  </cellStyles>
  <dxfs count="20">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auto="1"/>
      </font>
      <fill>
        <patternFill>
          <bgColor rgb="FFFF0000"/>
        </patternFill>
      </fill>
    </dxf>
    <dxf>
      <fill>
        <patternFill>
          <bgColor rgb="FF92D050"/>
        </patternFill>
      </fill>
    </dxf>
    <dxf>
      <fill>
        <patternFill>
          <bgColor theme="4" tint="0.59996337778862885"/>
        </patternFill>
      </fill>
    </dxf>
    <dxf>
      <fill>
        <patternFill>
          <bgColor rgb="FF92D050"/>
        </patternFill>
      </fill>
    </dxf>
    <dxf>
      <font>
        <color auto="1"/>
      </font>
      <fill>
        <patternFill>
          <bgColor rgb="FFFF0000"/>
        </patternFill>
      </fill>
    </dxf>
    <dxf>
      <fill>
        <patternFill>
          <bgColor theme="4" tint="0.59996337778862885"/>
        </patternFill>
      </fill>
    </dxf>
    <dxf>
      <fill>
        <patternFill>
          <bgColor rgb="FF92D050"/>
        </patternFill>
      </fill>
    </dxf>
    <dxf>
      <font>
        <color auto="1"/>
      </font>
      <fill>
        <patternFill>
          <bgColor rgb="FFFF0000"/>
        </patternFill>
      </fill>
    </dxf>
  </dxfs>
  <tableStyles count="0" defaultTableStyle="TableStyleMedium2" defaultPivotStyle="PivotStyleMedium9"/>
  <colors>
    <mruColors>
      <color rgb="FFC00000"/>
      <color rgb="FFFF9933"/>
      <color rgb="FFFFCC00"/>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Data!$C$3</c:f>
              <c:strCache>
                <c:ptCount val="1"/>
                <c:pt idx="0">
                  <c:v>Compliant</c:v>
                </c:pt>
              </c:strCache>
            </c:strRef>
          </c:tx>
          <c:spPr>
            <a:solidFill>
              <a:schemeClr val="accent1"/>
            </a:solidFill>
            <a:ln>
              <a:noFill/>
            </a:ln>
            <a:effectLst/>
          </c:spPr>
          <c:invertIfNegative val="0"/>
          <c:cat>
            <c:multiLvlStrRef>
              <c:f>Data!$A$4:$B$7</c:f>
              <c:multiLvlStrCache>
                <c:ptCount val="4"/>
                <c:lvl>
                  <c:pt idx="0">
                    <c:v>Mandatory</c:v>
                  </c:pt>
                  <c:pt idx="1">
                    <c:v>Secondary</c:v>
                  </c:pt>
                  <c:pt idx="2">
                    <c:v>Mandatory</c:v>
                  </c:pt>
                  <c:pt idx="3">
                    <c:v>Secondary</c:v>
                  </c:pt>
                </c:lvl>
                <c:lvl>
                  <c:pt idx="0">
                    <c:v>Implementer</c:v>
                  </c:pt>
                  <c:pt idx="2">
                    <c:v>CISO</c:v>
                  </c:pt>
                </c:lvl>
              </c:multiLvlStrCache>
            </c:multiLvlStrRef>
          </c:cat>
          <c:val>
            <c:numRef>
              <c:f>Data!$C$4:$C$7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AF8C-4B7E-AE3C-1FDD9869A467}"/>
            </c:ext>
          </c:extLst>
        </c:ser>
        <c:ser>
          <c:idx val="1"/>
          <c:order val="1"/>
          <c:tx>
            <c:strRef>
              <c:f>Data!$D$3</c:f>
              <c:strCache>
                <c:ptCount val="1"/>
                <c:pt idx="0">
                  <c:v>Non Compliant</c:v>
                </c:pt>
              </c:strCache>
            </c:strRef>
          </c:tx>
          <c:spPr>
            <a:solidFill>
              <a:schemeClr val="accent2"/>
            </a:solidFill>
            <a:ln>
              <a:noFill/>
            </a:ln>
            <a:effectLst/>
          </c:spPr>
          <c:invertIfNegative val="0"/>
          <c:cat>
            <c:multiLvlStrRef>
              <c:f>Data!$A$4:$B$7</c:f>
              <c:multiLvlStrCache>
                <c:ptCount val="4"/>
                <c:lvl>
                  <c:pt idx="0">
                    <c:v>Mandatory</c:v>
                  </c:pt>
                  <c:pt idx="1">
                    <c:v>Secondary</c:v>
                  </c:pt>
                  <c:pt idx="2">
                    <c:v>Mandatory</c:v>
                  </c:pt>
                  <c:pt idx="3">
                    <c:v>Secondary</c:v>
                  </c:pt>
                </c:lvl>
                <c:lvl>
                  <c:pt idx="0">
                    <c:v>Implementer</c:v>
                  </c:pt>
                  <c:pt idx="2">
                    <c:v>CISO</c:v>
                  </c:pt>
                </c:lvl>
              </c:multiLvlStrCache>
            </c:multiLvlStrRef>
          </c:cat>
          <c:val>
            <c:numRef>
              <c:f>Data!$D$4:$D$7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AF8C-4B7E-AE3C-1FDD9869A467}"/>
            </c:ext>
          </c:extLst>
        </c:ser>
        <c:ser>
          <c:idx val="2"/>
          <c:order val="2"/>
          <c:tx>
            <c:strRef>
              <c:f>Data!$E$3</c:f>
              <c:strCache>
                <c:ptCount val="1"/>
                <c:pt idx="0">
                  <c:v>Control Exemption</c:v>
                </c:pt>
              </c:strCache>
            </c:strRef>
          </c:tx>
          <c:spPr>
            <a:solidFill>
              <a:schemeClr val="accent3"/>
            </a:solidFill>
            <a:ln>
              <a:noFill/>
            </a:ln>
            <a:effectLst/>
          </c:spPr>
          <c:invertIfNegative val="0"/>
          <c:cat>
            <c:multiLvlStrRef>
              <c:f>Data!$A$4:$B$7</c:f>
              <c:multiLvlStrCache>
                <c:ptCount val="4"/>
                <c:lvl>
                  <c:pt idx="0">
                    <c:v>Mandatory</c:v>
                  </c:pt>
                  <c:pt idx="1">
                    <c:v>Secondary</c:v>
                  </c:pt>
                  <c:pt idx="2">
                    <c:v>Mandatory</c:v>
                  </c:pt>
                  <c:pt idx="3">
                    <c:v>Secondary</c:v>
                  </c:pt>
                </c:lvl>
                <c:lvl>
                  <c:pt idx="0">
                    <c:v>Implementer</c:v>
                  </c:pt>
                  <c:pt idx="2">
                    <c:v>CISO</c:v>
                  </c:pt>
                </c:lvl>
              </c:multiLvlStrCache>
            </c:multiLvlStrRef>
          </c:cat>
          <c:val>
            <c:numRef>
              <c:f>Data!$E$4:$E$7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2-AF8C-4B7E-AE3C-1FDD9869A467}"/>
            </c:ext>
          </c:extLst>
        </c:ser>
        <c:dLbls>
          <c:showLegendKey val="0"/>
          <c:showVal val="0"/>
          <c:showCatName val="0"/>
          <c:showSerName val="0"/>
          <c:showPercent val="0"/>
          <c:showBubbleSize val="0"/>
        </c:dLbls>
        <c:gapWidth val="219"/>
        <c:overlap val="-27"/>
        <c:axId val="648402504"/>
        <c:axId val="648404800"/>
        <c:extLst>
          <c:ext xmlns:c15="http://schemas.microsoft.com/office/drawing/2012/chart" uri="{02D57815-91ED-43cb-92C2-25804820EDAC}">
            <c15:filteredBarSeries>
              <c15:ser>
                <c:idx val="3"/>
                <c:order val="3"/>
                <c:tx>
                  <c:strRef>
                    <c:extLst>
                      <c:ext uri="{02D57815-91ED-43cb-92C2-25804820EDAC}">
                        <c15:formulaRef>
                          <c15:sqref>Data!$F$3</c15:sqref>
                        </c15:formulaRef>
                      </c:ext>
                    </c:extLst>
                    <c:strCache>
                      <c:ptCount val="1"/>
                      <c:pt idx="0">
                        <c:v>Total</c:v>
                      </c:pt>
                    </c:strCache>
                  </c:strRef>
                </c:tx>
                <c:spPr>
                  <a:solidFill>
                    <a:schemeClr val="accent4"/>
                  </a:solidFill>
                  <a:ln>
                    <a:noFill/>
                  </a:ln>
                  <a:effectLst/>
                </c:spPr>
                <c:invertIfNegative val="0"/>
                <c:cat>
                  <c:multiLvlStrRef>
                    <c:extLst>
                      <c:ext uri="{02D57815-91ED-43cb-92C2-25804820EDAC}">
                        <c15:formulaRef>
                          <c15:sqref>Data!$A$4:$B$7</c15:sqref>
                        </c15:formulaRef>
                      </c:ext>
                    </c:extLst>
                    <c:multiLvlStrCache>
                      <c:ptCount val="4"/>
                      <c:lvl>
                        <c:pt idx="0">
                          <c:v>Mandatory</c:v>
                        </c:pt>
                        <c:pt idx="1">
                          <c:v>Secondary</c:v>
                        </c:pt>
                        <c:pt idx="2">
                          <c:v>Mandatory</c:v>
                        </c:pt>
                        <c:pt idx="3">
                          <c:v>Secondary</c:v>
                        </c:pt>
                      </c:lvl>
                      <c:lvl>
                        <c:pt idx="0">
                          <c:v>Implementer</c:v>
                        </c:pt>
                        <c:pt idx="2">
                          <c:v>CISO</c:v>
                        </c:pt>
                      </c:lvl>
                    </c:multiLvlStrCache>
                  </c:multiLvlStrRef>
                </c:cat>
                <c:val>
                  <c:numRef>
                    <c:extLst>
                      <c:ext uri="{02D57815-91ED-43cb-92C2-25804820EDAC}">
                        <c15:formulaRef>
                          <c15:sqref>Data!$F$4:$F$7</c15:sqref>
                        </c15:formulaRef>
                      </c:ext>
                    </c:extLst>
                    <c:numCache>
                      <c:formatCode>General</c:formatCode>
                      <c:ptCount val="4"/>
                      <c:pt idx="0">
                        <c:v>0</c:v>
                      </c:pt>
                      <c:pt idx="1">
                        <c:v>0</c:v>
                      </c:pt>
                      <c:pt idx="2">
                        <c:v>0</c:v>
                      </c:pt>
                      <c:pt idx="3">
                        <c:v>0</c:v>
                      </c:pt>
                    </c:numCache>
                  </c:numRef>
                </c:val>
                <c:extLst>
                  <c:ext xmlns:c16="http://schemas.microsoft.com/office/drawing/2014/chart" uri="{C3380CC4-5D6E-409C-BE32-E72D297353CC}">
                    <c16:uniqueId val="{00000003-AF8C-4B7E-AE3C-1FDD9869A467}"/>
                  </c:ext>
                </c:extLst>
              </c15:ser>
            </c15:filteredBarSeries>
          </c:ext>
        </c:extLst>
      </c:barChart>
      <c:catAx>
        <c:axId val="648402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648404800"/>
        <c:crosses val="autoZero"/>
        <c:auto val="1"/>
        <c:lblAlgn val="ctr"/>
        <c:lblOffset val="100"/>
        <c:noMultiLvlLbl val="0"/>
      </c:catAx>
      <c:valAx>
        <c:axId val="648404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64840250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228600</xdr:colOff>
      <xdr:row>2</xdr:row>
      <xdr:rowOff>0</xdr:rowOff>
    </xdr:from>
    <xdr:to>
      <xdr:col>1</xdr:col>
      <xdr:colOff>1276350</xdr:colOff>
      <xdr:row>6</xdr:row>
      <xdr:rowOff>7473</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8200" y="371475"/>
          <a:ext cx="1047750" cy="7866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16086</xdr:rowOff>
    </xdr:from>
    <xdr:to>
      <xdr:col>5</xdr:col>
      <xdr:colOff>4127500</xdr:colOff>
      <xdr:row>55</xdr:row>
      <xdr:rowOff>19710</xdr:rowOff>
    </xdr:to>
    <xdr:graphicFrame macro="">
      <xdr:nvGraphicFramePr>
        <xdr:cNvPr id="3" name="Chart 1">
          <a:extLst>
            <a:ext uri="{FF2B5EF4-FFF2-40B4-BE49-F238E27FC236}">
              <a16:creationId xmlns:a16="http://schemas.microsoft.com/office/drawing/2014/main" id="{13648A1D-27EA-467D-B10D-19FB2AA89F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ites.ey.com/KPMG/Delivery/Vodafone/checklist/002-Test%20Document%20-%20Transmission%20-%20Juniper%20Netscreen%20firewall%20-%20Eesha%20V1_modifie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Sheet4"/>
      <sheetName val="Framework-Instruction-Mapping"/>
      <sheetName val="Compliance (Device Specific)"/>
      <sheetName val="Device  Name-Netscreen Firewall"/>
      <sheetName val="Data"/>
      <sheetName val="Validation Lists"/>
    </sheetNames>
    <sheetDataSet>
      <sheetData sheetId="0"/>
      <sheetData sheetId="1"/>
      <sheetData sheetId="2"/>
      <sheetData sheetId="3"/>
      <sheetData sheetId="4"/>
      <sheetData sheetId="5"/>
      <sheetData sheetId="6"/>
      <sheetData sheetId="7"/>
      <sheetData sheetId="8">
        <row r="2">
          <cell r="D2" t="str">
            <v>Core - Mobility</v>
          </cell>
        </row>
        <row r="3">
          <cell r="D3" t="str">
            <v>Core - Carrier</v>
          </cell>
        </row>
        <row r="4">
          <cell r="D4" t="str">
            <v xml:space="preserve">Packet, VAS </v>
          </cell>
        </row>
        <row r="5">
          <cell r="D5" t="str">
            <v xml:space="preserve">Access </v>
          </cell>
        </row>
        <row r="6">
          <cell r="D6" t="str">
            <v xml:space="preserve">Transmission </v>
          </cell>
        </row>
        <row r="7">
          <cell r="D7" t="str">
            <v xml:space="preserve">Enterprise </v>
          </cell>
        </row>
        <row r="8">
          <cell r="D8" t="str">
            <v>LI</v>
          </cell>
        </row>
      </sheetData>
    </sheetDataSet>
  </externalBook>
</externalLink>
</file>

<file path=xl/theme/theme1.xml><?xml version="1.0" encoding="utf-8"?>
<a:theme xmlns:a="http://schemas.openxmlformats.org/drawingml/2006/main" name="Office Theme">
  <a:themeElements>
    <a:clrScheme name="Axiata MBSS">
      <a:dk1>
        <a:sysClr val="windowText" lastClr="000000"/>
      </a:dk1>
      <a:lt1>
        <a:sysClr val="window" lastClr="FFFFFF"/>
      </a:lt1>
      <a:dk2>
        <a:srgbClr val="1F497D"/>
      </a:dk2>
      <a:lt2>
        <a:srgbClr val="EEECE1"/>
      </a:lt2>
      <a:accent1>
        <a:srgbClr val="0B458F"/>
      </a:accent1>
      <a:accent2>
        <a:srgbClr val="C00000"/>
      </a:accent2>
      <a:accent3>
        <a:srgbClr val="00B0F0"/>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G19"/>
  <sheetViews>
    <sheetView zoomScaleNormal="100" workbookViewId="0">
      <selection activeCell="C9" sqref="C9"/>
    </sheetView>
  </sheetViews>
  <sheetFormatPr defaultColWidth="9.08984375" defaultRowHeight="14" x14ac:dyDescent="0.3"/>
  <cols>
    <col min="1" max="1" width="9.08984375" style="1"/>
    <col min="2" max="2" width="22.54296875" style="1" customWidth="1"/>
    <col min="3" max="4" width="21.54296875" style="1" customWidth="1"/>
    <col min="5" max="5" width="19" style="1" customWidth="1"/>
    <col min="6" max="6" width="23.453125" style="1" customWidth="1"/>
    <col min="7" max="16384" width="9.08984375" style="1"/>
  </cols>
  <sheetData>
    <row r="2" spans="2:7" ht="14.5" thickBot="1" x14ac:dyDescent="0.35">
      <c r="C2" s="64"/>
      <c r="D2" s="64"/>
      <c r="E2" s="64"/>
      <c r="F2" s="64"/>
    </row>
    <row r="3" spans="2:7" x14ac:dyDescent="0.3">
      <c r="B3" s="105"/>
      <c r="C3" s="108" t="s">
        <v>0</v>
      </c>
      <c r="D3" s="111" t="s">
        <v>107</v>
      </c>
      <c r="E3" s="108" t="s">
        <v>1</v>
      </c>
      <c r="F3" s="108" t="s">
        <v>103</v>
      </c>
    </row>
    <row r="4" spans="2:7" ht="16.5" customHeight="1" thickBot="1" x14ac:dyDescent="0.35">
      <c r="B4" s="106"/>
      <c r="C4" s="109"/>
      <c r="D4" s="112"/>
      <c r="E4" s="110"/>
      <c r="F4" s="110"/>
    </row>
    <row r="5" spans="2:7" ht="15" customHeight="1" thickBot="1" x14ac:dyDescent="0.35">
      <c r="B5" s="106"/>
      <c r="C5" s="110"/>
      <c r="D5" s="113"/>
      <c r="E5" s="65" t="s">
        <v>2</v>
      </c>
      <c r="F5" s="65" t="s">
        <v>102</v>
      </c>
    </row>
    <row r="6" spans="2:7" ht="14.5" thickBot="1" x14ac:dyDescent="0.35">
      <c r="B6" s="107"/>
      <c r="C6" s="65" t="s">
        <v>101</v>
      </c>
      <c r="D6" s="65" t="s">
        <v>277</v>
      </c>
      <c r="E6" s="65" t="s">
        <v>3</v>
      </c>
      <c r="F6" s="65" t="s">
        <v>277</v>
      </c>
    </row>
    <row r="7" spans="2:7" x14ac:dyDescent="0.3">
      <c r="C7" s="64"/>
      <c r="D7" s="64"/>
      <c r="E7" s="64"/>
      <c r="F7" s="64"/>
    </row>
    <row r="8" spans="2:7" x14ac:dyDescent="0.3">
      <c r="C8" s="64"/>
      <c r="D8" s="64"/>
      <c r="E8" s="64"/>
      <c r="F8" s="64"/>
    </row>
    <row r="9" spans="2:7" x14ac:dyDescent="0.3">
      <c r="C9" s="64"/>
      <c r="D9" s="64"/>
      <c r="E9" s="64"/>
      <c r="F9" s="64"/>
    </row>
    <row r="10" spans="2:7" x14ac:dyDescent="0.3">
      <c r="C10" s="64"/>
      <c r="D10" s="64"/>
      <c r="E10" s="64"/>
      <c r="F10" s="64"/>
    </row>
    <row r="11" spans="2:7" ht="14.5" thickBot="1" x14ac:dyDescent="0.35">
      <c r="C11" s="64"/>
      <c r="D11" s="64"/>
      <c r="E11" s="64"/>
      <c r="F11" s="64"/>
    </row>
    <row r="12" spans="2:7" ht="15" customHeight="1" x14ac:dyDescent="0.3">
      <c r="B12" s="102" t="s">
        <v>4</v>
      </c>
      <c r="C12" s="96" t="s">
        <v>107</v>
      </c>
      <c r="D12" s="96"/>
      <c r="E12" s="96"/>
      <c r="F12" s="97"/>
    </row>
    <row r="13" spans="2:7" ht="15.75" customHeight="1" x14ac:dyDescent="0.3">
      <c r="B13" s="103"/>
      <c r="C13" s="98"/>
      <c r="D13" s="98"/>
      <c r="E13" s="98"/>
      <c r="F13" s="99"/>
    </row>
    <row r="14" spans="2:7" ht="15.75" customHeight="1" thickBot="1" x14ac:dyDescent="0.35">
      <c r="B14" s="104"/>
      <c r="C14" s="100"/>
      <c r="D14" s="100"/>
      <c r="E14" s="100"/>
      <c r="F14" s="101"/>
    </row>
    <row r="15" spans="2:7" ht="14.5" thickBot="1" x14ac:dyDescent="0.35">
      <c r="C15" s="64"/>
      <c r="D15" s="64"/>
      <c r="E15" s="64"/>
      <c r="F15" s="64"/>
      <c r="G15" s="44"/>
    </row>
    <row r="16" spans="2:7" ht="15.75" customHeight="1" x14ac:dyDescent="0.3">
      <c r="B16" s="84" t="s">
        <v>97</v>
      </c>
      <c r="C16" s="87" t="s">
        <v>286</v>
      </c>
      <c r="D16" s="88"/>
      <c r="E16" s="88"/>
      <c r="F16" s="89"/>
      <c r="G16" s="49"/>
    </row>
    <row r="17" spans="2:7" ht="13.65" customHeight="1" x14ac:dyDescent="0.3">
      <c r="B17" s="85"/>
      <c r="C17" s="90"/>
      <c r="D17" s="91"/>
      <c r="E17" s="91"/>
      <c r="F17" s="92"/>
      <c r="G17" s="49"/>
    </row>
    <row r="18" spans="2:7" ht="14.4" customHeight="1" thickBot="1" x14ac:dyDescent="0.35">
      <c r="B18" s="86"/>
      <c r="C18" s="93"/>
      <c r="D18" s="94"/>
      <c r="E18" s="94"/>
      <c r="F18" s="95"/>
      <c r="G18" s="49"/>
    </row>
    <row r="19" spans="2:7" x14ac:dyDescent="0.3">
      <c r="C19" s="64"/>
      <c r="D19" s="64"/>
      <c r="E19" s="64"/>
      <c r="F19" s="64"/>
      <c r="G19" s="44"/>
    </row>
  </sheetData>
  <mergeCells count="9">
    <mergeCell ref="B16:B18"/>
    <mergeCell ref="C16:F18"/>
    <mergeCell ref="C12:F14"/>
    <mergeCell ref="B12:B14"/>
    <mergeCell ref="B3:B6"/>
    <mergeCell ref="C3:C5"/>
    <mergeCell ref="E3:E4"/>
    <mergeCell ref="F3:F4"/>
    <mergeCell ref="D3:D5"/>
  </mergeCells>
  <pageMargins left="0.7" right="0.7" top="0.75" bottom="0.75" header="0.3" footer="0.3"/>
  <pageSetup orientation="landscape" horizontalDpi="90" verticalDpi="9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G14"/>
  <sheetViews>
    <sheetView workbookViewId="0">
      <selection activeCell="B5" sqref="B5"/>
    </sheetView>
  </sheetViews>
  <sheetFormatPr defaultRowHeight="14.5" x14ac:dyDescent="0.35"/>
  <cols>
    <col min="2" max="2" width="10.08984375" customWidth="1"/>
    <col min="3" max="3" width="15.6328125" style="32" customWidth="1"/>
    <col min="4" max="4" width="21.54296875" customWidth="1"/>
    <col min="5" max="5" width="20.90625" customWidth="1"/>
    <col min="6" max="6" width="22" customWidth="1"/>
    <col min="7" max="7" width="23.453125" style="35" customWidth="1"/>
  </cols>
  <sheetData>
    <row r="2" spans="1:7" ht="18" x14ac:dyDescent="0.35">
      <c r="B2" s="114" t="s">
        <v>24</v>
      </c>
      <c r="C2" s="114"/>
      <c r="D2" s="114"/>
      <c r="E2" s="114"/>
      <c r="F2" s="51"/>
      <c r="G2" s="51"/>
    </row>
    <row r="3" spans="1:7" x14ac:dyDescent="0.35">
      <c r="B3" s="10"/>
      <c r="C3" s="33"/>
      <c r="D3" s="10"/>
      <c r="E3" s="10"/>
      <c r="F3" s="10"/>
      <c r="G3" s="10"/>
    </row>
    <row r="4" spans="1:7" ht="33.65" customHeight="1" x14ac:dyDescent="0.35">
      <c r="B4" s="9" t="s">
        <v>97</v>
      </c>
      <c r="C4" s="34" t="s">
        <v>98</v>
      </c>
      <c r="D4" s="9" t="s">
        <v>104</v>
      </c>
      <c r="E4" s="9" t="s">
        <v>25</v>
      </c>
      <c r="G4"/>
    </row>
    <row r="5" spans="1:7" x14ac:dyDescent="0.35">
      <c r="A5" s="66"/>
      <c r="B5" s="67">
        <v>1</v>
      </c>
      <c r="C5" s="68" t="s">
        <v>26</v>
      </c>
      <c r="D5" s="67" t="s">
        <v>27</v>
      </c>
      <c r="E5" s="67" t="s">
        <v>28</v>
      </c>
      <c r="G5"/>
    </row>
    <row r="6" spans="1:7" x14ac:dyDescent="0.35">
      <c r="A6" s="66"/>
      <c r="B6" s="67">
        <v>2</v>
      </c>
      <c r="C6" s="68" t="s">
        <v>29</v>
      </c>
      <c r="D6" s="67" t="s">
        <v>30</v>
      </c>
      <c r="E6" s="67" t="s">
        <v>287</v>
      </c>
      <c r="G6"/>
    </row>
    <row r="7" spans="1:7" x14ac:dyDescent="0.35">
      <c r="A7" s="66"/>
      <c r="B7" s="66"/>
      <c r="C7" s="69"/>
      <c r="D7" s="66"/>
      <c r="E7" s="66"/>
    </row>
    <row r="8" spans="1:7" x14ac:dyDescent="0.35">
      <c r="A8" s="66"/>
      <c r="B8" s="66"/>
      <c r="C8" s="69"/>
      <c r="D8" s="66"/>
      <c r="E8" s="66"/>
    </row>
    <row r="9" spans="1:7" x14ac:dyDescent="0.35">
      <c r="A9" s="66"/>
      <c r="B9" s="66"/>
      <c r="C9" s="69"/>
      <c r="D9" s="66"/>
      <c r="E9" s="66"/>
    </row>
    <row r="10" spans="1:7" x14ac:dyDescent="0.35">
      <c r="A10" s="66"/>
      <c r="B10" s="66"/>
      <c r="C10" s="69"/>
      <c r="D10" s="66"/>
      <c r="E10" s="66"/>
    </row>
    <row r="11" spans="1:7" x14ac:dyDescent="0.35">
      <c r="A11" s="66"/>
      <c r="B11" s="66"/>
      <c r="C11" s="69"/>
      <c r="D11" s="66"/>
      <c r="E11" s="66"/>
    </row>
    <row r="12" spans="1:7" x14ac:dyDescent="0.35">
      <c r="A12" s="66"/>
      <c r="B12" s="66"/>
      <c r="C12" s="69"/>
      <c r="D12" s="66"/>
      <c r="E12" s="66"/>
    </row>
    <row r="13" spans="1:7" x14ac:dyDescent="0.35">
      <c r="A13" s="66"/>
      <c r="B13" s="66"/>
      <c r="C13" s="69"/>
      <c r="D13" s="66"/>
      <c r="E13" s="66"/>
    </row>
    <row r="14" spans="1:7" x14ac:dyDescent="0.35">
      <c r="A14" s="66"/>
      <c r="B14" s="66"/>
      <c r="C14" s="69"/>
      <c r="D14" s="66"/>
      <c r="E14" s="66"/>
    </row>
  </sheetData>
  <mergeCells count="1">
    <mergeCell ref="B2:E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J28"/>
  <sheetViews>
    <sheetView workbookViewId="0"/>
  </sheetViews>
  <sheetFormatPr defaultColWidth="9.08984375" defaultRowHeight="12.5" x14ac:dyDescent="0.35"/>
  <cols>
    <col min="1" max="2" width="9.08984375" style="11"/>
    <col min="3" max="3" width="39.90625" style="11" customWidth="1"/>
    <col min="4" max="4" width="90.90625" style="11" customWidth="1"/>
    <col min="5" max="5" width="39" style="11" customWidth="1"/>
    <col min="6" max="16384" width="9.08984375" style="11"/>
  </cols>
  <sheetData>
    <row r="1" spans="2:10" ht="18" x14ac:dyDescent="0.35">
      <c r="B1" s="114" t="s">
        <v>5</v>
      </c>
      <c r="C1" s="114"/>
      <c r="D1" s="114"/>
      <c r="E1" s="12"/>
      <c r="F1" s="12"/>
      <c r="G1" s="12"/>
      <c r="H1" s="12"/>
      <c r="I1" s="12"/>
      <c r="J1" s="12"/>
    </row>
    <row r="3" spans="2:10" ht="15.5" x14ac:dyDescent="0.35">
      <c r="B3" s="116" t="s">
        <v>6</v>
      </c>
      <c r="C3" s="117"/>
      <c r="D3" s="117"/>
    </row>
    <row r="4" spans="2:10" ht="117.5" customHeight="1" x14ac:dyDescent="0.35">
      <c r="B4" s="118" t="s">
        <v>278</v>
      </c>
      <c r="C4" s="118"/>
      <c r="D4" s="118"/>
    </row>
    <row r="5" spans="2:10" x14ac:dyDescent="0.35">
      <c r="B5" s="13"/>
      <c r="C5" s="13"/>
      <c r="D5" s="13"/>
    </row>
    <row r="6" spans="2:10" ht="15.5" x14ac:dyDescent="0.35">
      <c r="B6" s="116" t="s">
        <v>274</v>
      </c>
      <c r="C6" s="117"/>
      <c r="D6" s="117"/>
    </row>
    <row r="7" spans="2:10" ht="162" customHeight="1" x14ac:dyDescent="0.35">
      <c r="B7" s="119" t="s">
        <v>279</v>
      </c>
      <c r="C7" s="119"/>
      <c r="D7" s="119"/>
    </row>
    <row r="8" spans="2:10" ht="15" customHeight="1" x14ac:dyDescent="0.35">
      <c r="D8" s="14"/>
    </row>
    <row r="9" spans="2:10" x14ac:dyDescent="0.35">
      <c r="D9" s="7"/>
    </row>
    <row r="10" spans="2:10" ht="15.5" x14ac:dyDescent="0.35">
      <c r="B10" s="50" t="s">
        <v>106</v>
      </c>
      <c r="C10" s="50" t="s">
        <v>7</v>
      </c>
      <c r="D10" s="50" t="s">
        <v>8</v>
      </c>
      <c r="E10" s="50" t="s">
        <v>9</v>
      </c>
    </row>
    <row r="11" spans="2:10" ht="50" x14ac:dyDescent="0.35">
      <c r="B11" s="2">
        <v>1</v>
      </c>
      <c r="C11" s="4" t="s">
        <v>108</v>
      </c>
      <c r="D11" s="3" t="s">
        <v>109</v>
      </c>
      <c r="E11" s="70" t="s">
        <v>280</v>
      </c>
    </row>
    <row r="12" spans="2:10" ht="37.5" x14ac:dyDescent="0.35">
      <c r="B12" s="2">
        <v>2</v>
      </c>
      <c r="C12" s="4" t="s">
        <v>110</v>
      </c>
      <c r="D12" s="3" t="s">
        <v>111</v>
      </c>
      <c r="E12" s="70" t="s">
        <v>281</v>
      </c>
    </row>
    <row r="13" spans="2:10" ht="37.5" x14ac:dyDescent="0.35">
      <c r="B13" s="2">
        <v>3</v>
      </c>
      <c r="C13" s="4" t="s">
        <v>40</v>
      </c>
      <c r="D13" s="5" t="s">
        <v>112</v>
      </c>
      <c r="E13" s="70" t="s">
        <v>282</v>
      </c>
    </row>
    <row r="14" spans="2:10" ht="36" customHeight="1" x14ac:dyDescent="0.35">
      <c r="B14" s="2">
        <v>4</v>
      </c>
      <c r="C14" s="4" t="s">
        <v>113</v>
      </c>
      <c r="D14" s="5" t="s">
        <v>114</v>
      </c>
      <c r="E14" s="70" t="s">
        <v>283</v>
      </c>
    </row>
    <row r="15" spans="2:10" ht="75" x14ac:dyDescent="0.35">
      <c r="B15" s="2">
        <v>5</v>
      </c>
      <c r="C15" s="4" t="s">
        <v>115</v>
      </c>
      <c r="D15" s="5" t="s">
        <v>116</v>
      </c>
      <c r="E15" s="70" t="s">
        <v>284</v>
      </c>
    </row>
    <row r="16" spans="2:10" ht="37.5" x14ac:dyDescent="0.35">
      <c r="B16" s="2">
        <v>6</v>
      </c>
      <c r="C16" s="4" t="s">
        <v>117</v>
      </c>
      <c r="D16" s="5" t="s">
        <v>118</v>
      </c>
      <c r="E16" s="70" t="s">
        <v>285</v>
      </c>
    </row>
    <row r="17" spans="2:5" x14ac:dyDescent="0.35">
      <c r="B17" s="6"/>
      <c r="C17" s="6"/>
      <c r="D17" s="7"/>
      <c r="E17" s="7"/>
    </row>
    <row r="18" spans="2:5" ht="15.5" x14ac:dyDescent="0.35">
      <c r="B18" s="63" t="s">
        <v>10</v>
      </c>
      <c r="C18" s="63" t="s">
        <v>105</v>
      </c>
      <c r="D18" s="63" t="s">
        <v>273</v>
      </c>
      <c r="E18" s="30"/>
    </row>
    <row r="19" spans="2:5" ht="25" x14ac:dyDescent="0.35">
      <c r="B19" s="2">
        <v>1</v>
      </c>
      <c r="C19" s="60" t="s">
        <v>11</v>
      </c>
      <c r="D19" s="15" t="s">
        <v>12</v>
      </c>
      <c r="E19" s="31"/>
    </row>
    <row r="20" spans="2:5" ht="25" x14ac:dyDescent="0.35">
      <c r="B20" s="2">
        <v>2</v>
      </c>
      <c r="C20" s="59" t="s">
        <v>13</v>
      </c>
      <c r="D20" s="5" t="s">
        <v>14</v>
      </c>
      <c r="E20" s="31"/>
    </row>
    <row r="21" spans="2:5" x14ac:dyDescent="0.35">
      <c r="B21" s="6"/>
      <c r="C21" s="7"/>
      <c r="D21" s="7"/>
      <c r="E21" s="6"/>
    </row>
    <row r="22" spans="2:5" ht="15" customHeight="1" x14ac:dyDescent="0.35">
      <c r="B22" s="120" t="s">
        <v>15</v>
      </c>
      <c r="C22" s="121"/>
      <c r="D22" s="122"/>
    </row>
    <row r="23" spans="2:5" ht="29.4" customHeight="1" x14ac:dyDescent="0.35">
      <c r="B23" s="115" t="s">
        <v>16</v>
      </c>
      <c r="C23" s="115"/>
      <c r="D23" s="115"/>
    </row>
    <row r="24" spans="2:5" x14ac:dyDescent="0.35">
      <c r="B24" s="6"/>
      <c r="C24" s="7"/>
      <c r="D24" s="7"/>
      <c r="E24" s="6"/>
    </row>
    <row r="25" spans="2:5" ht="17.25" customHeight="1" x14ac:dyDescent="0.35">
      <c r="B25" s="63" t="s">
        <v>10</v>
      </c>
      <c r="C25" s="116" t="s">
        <v>17</v>
      </c>
      <c r="D25" s="116"/>
      <c r="E25"/>
    </row>
    <row r="26" spans="2:5" ht="14.5" x14ac:dyDescent="0.35">
      <c r="B26" s="24">
        <v>1</v>
      </c>
      <c r="C26" s="25" t="s">
        <v>18</v>
      </c>
      <c r="D26" s="26" t="s">
        <v>19</v>
      </c>
      <c r="E26"/>
    </row>
    <row r="27" spans="2:5" ht="14.5" x14ac:dyDescent="0.35">
      <c r="B27" s="24">
        <v>2</v>
      </c>
      <c r="C27" s="27" t="s">
        <v>20</v>
      </c>
      <c r="D27" s="26" t="s">
        <v>21</v>
      </c>
      <c r="E27"/>
    </row>
    <row r="28" spans="2:5" ht="38.5" x14ac:dyDescent="0.35">
      <c r="B28" s="2">
        <v>3</v>
      </c>
      <c r="C28" s="28" t="s">
        <v>22</v>
      </c>
      <c r="D28" s="26" t="s">
        <v>23</v>
      </c>
      <c r="E28"/>
    </row>
  </sheetData>
  <mergeCells count="8">
    <mergeCell ref="B1:D1"/>
    <mergeCell ref="B23:D23"/>
    <mergeCell ref="C25:D25"/>
    <mergeCell ref="B3:D3"/>
    <mergeCell ref="B4:D4"/>
    <mergeCell ref="B6:D6"/>
    <mergeCell ref="B7:D7"/>
    <mergeCell ref="B22:D2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51"/>
  <sheetViews>
    <sheetView tabSelected="1" zoomScale="70" zoomScaleNormal="70" workbookViewId="0">
      <selection activeCell="C3" sqref="C3"/>
    </sheetView>
  </sheetViews>
  <sheetFormatPr defaultColWidth="9.08984375" defaultRowHeight="11.5" x14ac:dyDescent="0.35"/>
  <cols>
    <col min="1" max="1" width="24.6328125" style="21" customWidth="1"/>
    <col min="2" max="2" width="21.54296875" style="21" bestFit="1" customWidth="1"/>
    <col min="3" max="3" width="35" style="16" customWidth="1"/>
    <col min="4" max="4" width="56" style="16" customWidth="1"/>
    <col min="5" max="5" width="57.90625" style="16" customWidth="1"/>
    <col min="6" max="6" width="12.54296875" style="16" customWidth="1"/>
    <col min="7" max="7" width="44.54296875" style="20" customWidth="1"/>
    <col min="8" max="8" width="29.08984375" style="20" customWidth="1"/>
    <col min="9" max="9" width="19.54296875" style="20" customWidth="1"/>
    <col min="10" max="10" width="17.54296875" style="20" customWidth="1"/>
    <col min="11" max="11" width="20.90625" style="16" customWidth="1"/>
    <col min="12" max="12" width="21.453125" style="23" customWidth="1"/>
    <col min="13" max="18" width="15.81640625" style="16" customWidth="1"/>
    <col min="19" max="19" width="9.08984375" style="16" customWidth="1"/>
    <col min="20" max="16384" width="9.08984375" style="16"/>
  </cols>
  <sheetData>
    <row r="1" spans="1:18" ht="23" x14ac:dyDescent="0.35">
      <c r="A1" s="18" t="s">
        <v>100</v>
      </c>
      <c r="B1" s="18" t="s">
        <v>31</v>
      </c>
      <c r="C1" s="18" t="s">
        <v>32</v>
      </c>
      <c r="D1" s="18" t="s">
        <v>33</v>
      </c>
      <c r="E1" s="18" t="s">
        <v>34</v>
      </c>
      <c r="F1" s="19" t="s">
        <v>105</v>
      </c>
      <c r="G1" s="61" t="s">
        <v>35</v>
      </c>
      <c r="H1" s="61" t="s">
        <v>36</v>
      </c>
      <c r="I1" s="61" t="s">
        <v>37</v>
      </c>
      <c r="J1" s="61" t="s">
        <v>38</v>
      </c>
      <c r="K1" s="62" t="s">
        <v>39</v>
      </c>
      <c r="L1" s="62" t="s">
        <v>92</v>
      </c>
      <c r="M1" s="18" t="s">
        <v>288</v>
      </c>
      <c r="N1" s="18" t="s">
        <v>289</v>
      </c>
      <c r="O1" s="18" t="s">
        <v>290</v>
      </c>
      <c r="P1" s="18" t="s">
        <v>291</v>
      </c>
      <c r="Q1" s="18" t="s">
        <v>292</v>
      </c>
      <c r="R1" s="18" t="s">
        <v>293</v>
      </c>
    </row>
    <row r="2" spans="1:18" ht="103.5" customHeight="1" x14ac:dyDescent="0.35">
      <c r="A2" s="72" t="s">
        <v>119</v>
      </c>
      <c r="B2" s="72" t="s">
        <v>108</v>
      </c>
      <c r="C2" s="72" t="s">
        <v>120</v>
      </c>
      <c r="D2" s="72" t="s">
        <v>121</v>
      </c>
      <c r="E2" s="72" t="s">
        <v>122</v>
      </c>
      <c r="F2" s="71" t="str">
        <f>IF(R2&lt;=5,"Secondary","Mandatory")</f>
        <v>Mandatory</v>
      </c>
      <c r="G2" s="8"/>
      <c r="H2" s="29"/>
      <c r="I2" s="8"/>
      <c r="J2" s="8"/>
      <c r="K2" s="29"/>
      <c r="L2" s="22"/>
      <c r="M2" s="72">
        <v>1</v>
      </c>
      <c r="N2" s="72">
        <v>1</v>
      </c>
      <c r="O2" s="72">
        <v>1</v>
      </c>
      <c r="P2" s="72">
        <v>3</v>
      </c>
      <c r="Q2" s="72">
        <v>3</v>
      </c>
      <c r="R2" s="72">
        <f>(M2+N2+O2)*(P2+Q2)</f>
        <v>18</v>
      </c>
    </row>
    <row r="3" spans="1:18" ht="126.65" customHeight="1" x14ac:dyDescent="0.35">
      <c r="A3" s="72" t="s">
        <v>123</v>
      </c>
      <c r="B3" s="72" t="s">
        <v>108</v>
      </c>
      <c r="C3" s="72" t="s">
        <v>124</v>
      </c>
      <c r="D3" s="72" t="s">
        <v>125</v>
      </c>
      <c r="E3" s="72" t="s">
        <v>126</v>
      </c>
      <c r="F3" s="71" t="str">
        <f t="shared" ref="F3:F51" si="0">IF(R3&lt;=5,"Secondary","Mandatory")</f>
        <v>Mandatory</v>
      </c>
      <c r="G3" s="8"/>
      <c r="H3" s="29"/>
      <c r="I3" s="8"/>
      <c r="J3" s="8"/>
      <c r="K3" s="29"/>
      <c r="L3" s="22"/>
      <c r="M3" s="72">
        <v>1</v>
      </c>
      <c r="N3" s="72">
        <v>1</v>
      </c>
      <c r="O3" s="72">
        <v>1</v>
      </c>
      <c r="P3" s="72">
        <v>3</v>
      </c>
      <c r="Q3" s="72">
        <v>3</v>
      </c>
      <c r="R3" s="72">
        <f t="shared" ref="R3:R51" si="1">(M3+N3+O3)*(P3+Q3)</f>
        <v>18</v>
      </c>
    </row>
    <row r="4" spans="1:18" ht="34.5" x14ac:dyDescent="0.35">
      <c r="A4" s="72" t="s">
        <v>127</v>
      </c>
      <c r="B4" s="72" t="s">
        <v>108</v>
      </c>
      <c r="C4" s="72" t="s">
        <v>128</v>
      </c>
      <c r="D4" s="72" t="s">
        <v>129</v>
      </c>
      <c r="E4" s="72" t="s">
        <v>126</v>
      </c>
      <c r="F4" s="71" t="str">
        <f t="shared" si="0"/>
        <v>Mandatory</v>
      </c>
      <c r="G4" s="8"/>
      <c r="H4" s="29"/>
      <c r="I4" s="8"/>
      <c r="J4" s="8"/>
      <c r="K4" s="29"/>
      <c r="L4" s="22"/>
      <c r="M4" s="72">
        <v>1</v>
      </c>
      <c r="N4" s="72">
        <v>1</v>
      </c>
      <c r="O4" s="72">
        <v>1</v>
      </c>
      <c r="P4" s="72">
        <v>3</v>
      </c>
      <c r="Q4" s="72">
        <v>3</v>
      </c>
      <c r="R4" s="72">
        <f t="shared" si="1"/>
        <v>18</v>
      </c>
    </row>
    <row r="5" spans="1:18" ht="23" x14ac:dyDescent="0.35">
      <c r="A5" s="72" t="s">
        <v>130</v>
      </c>
      <c r="B5" s="72" t="s">
        <v>108</v>
      </c>
      <c r="C5" s="72" t="s">
        <v>131</v>
      </c>
      <c r="D5" s="72" t="s">
        <v>132</v>
      </c>
      <c r="E5" s="72" t="s">
        <v>126</v>
      </c>
      <c r="F5" s="71" t="str">
        <f t="shared" si="0"/>
        <v>Mandatory</v>
      </c>
      <c r="G5" s="8"/>
      <c r="H5" s="29"/>
      <c r="I5" s="8"/>
      <c r="J5" s="8"/>
      <c r="K5" s="29"/>
      <c r="L5" s="22"/>
      <c r="M5" s="72">
        <v>1</v>
      </c>
      <c r="N5" s="72">
        <v>1</v>
      </c>
      <c r="O5" s="72">
        <v>1</v>
      </c>
      <c r="P5" s="72">
        <v>3</v>
      </c>
      <c r="Q5" s="72">
        <v>3</v>
      </c>
      <c r="R5" s="72">
        <f t="shared" si="1"/>
        <v>18</v>
      </c>
    </row>
    <row r="6" spans="1:18" ht="23" x14ac:dyDescent="0.35">
      <c r="A6" s="72" t="s">
        <v>133</v>
      </c>
      <c r="B6" s="72" t="s">
        <v>108</v>
      </c>
      <c r="C6" s="72" t="s">
        <v>134</v>
      </c>
      <c r="D6" s="72" t="s">
        <v>135</v>
      </c>
      <c r="E6" s="72" t="s">
        <v>126</v>
      </c>
      <c r="F6" s="71" t="str">
        <f t="shared" si="0"/>
        <v>Mandatory</v>
      </c>
      <c r="G6" s="8"/>
      <c r="H6" s="29"/>
      <c r="I6" s="8"/>
      <c r="J6" s="8"/>
      <c r="K6" s="29"/>
      <c r="L6" s="22"/>
      <c r="M6" s="72">
        <v>1</v>
      </c>
      <c r="N6" s="72">
        <v>1</v>
      </c>
      <c r="O6" s="72">
        <v>1</v>
      </c>
      <c r="P6" s="72">
        <v>3</v>
      </c>
      <c r="Q6" s="72">
        <v>3</v>
      </c>
      <c r="R6" s="72">
        <f t="shared" si="1"/>
        <v>18</v>
      </c>
    </row>
    <row r="7" spans="1:18" ht="16.5" customHeight="1" x14ac:dyDescent="0.35">
      <c r="A7" s="72" t="s">
        <v>136</v>
      </c>
      <c r="B7" s="72" t="s">
        <v>108</v>
      </c>
      <c r="C7" s="72" t="s">
        <v>137</v>
      </c>
      <c r="D7" s="72" t="s">
        <v>138</v>
      </c>
      <c r="E7" s="72" t="s">
        <v>126</v>
      </c>
      <c r="F7" s="71" t="str">
        <f t="shared" si="0"/>
        <v>Mandatory</v>
      </c>
      <c r="G7" s="8"/>
      <c r="H7" s="29"/>
      <c r="I7" s="8"/>
      <c r="J7" s="8"/>
      <c r="K7" s="29"/>
      <c r="L7" s="22"/>
      <c r="M7" s="72">
        <v>1</v>
      </c>
      <c r="N7" s="72">
        <v>1</v>
      </c>
      <c r="O7" s="72">
        <v>1</v>
      </c>
      <c r="P7" s="72">
        <v>3</v>
      </c>
      <c r="Q7" s="72">
        <v>3</v>
      </c>
      <c r="R7" s="72">
        <f t="shared" si="1"/>
        <v>18</v>
      </c>
    </row>
    <row r="8" spans="1:18" ht="23" x14ac:dyDescent="0.35">
      <c r="A8" s="72" t="s">
        <v>139</v>
      </c>
      <c r="B8" s="72" t="s">
        <v>108</v>
      </c>
      <c r="C8" s="72" t="s">
        <v>140</v>
      </c>
      <c r="D8" s="72" t="s">
        <v>141</v>
      </c>
      <c r="E8" s="72" t="s">
        <v>126</v>
      </c>
      <c r="F8" s="71" t="str">
        <f t="shared" si="0"/>
        <v>Mandatory</v>
      </c>
      <c r="G8" s="8"/>
      <c r="H8" s="29"/>
      <c r="I8" s="8"/>
      <c r="J8" s="8"/>
      <c r="K8" s="29"/>
      <c r="L8" s="22"/>
      <c r="M8" s="72">
        <v>1</v>
      </c>
      <c r="N8" s="72">
        <v>1</v>
      </c>
      <c r="O8" s="72">
        <v>1</v>
      </c>
      <c r="P8" s="72">
        <v>3</v>
      </c>
      <c r="Q8" s="72">
        <v>3</v>
      </c>
      <c r="R8" s="72">
        <f t="shared" si="1"/>
        <v>18</v>
      </c>
    </row>
    <row r="9" spans="1:18" ht="34.5" x14ac:dyDescent="0.35">
      <c r="A9" s="72" t="s">
        <v>142</v>
      </c>
      <c r="B9" s="72" t="s">
        <v>108</v>
      </c>
      <c r="C9" s="72" t="s">
        <v>143</v>
      </c>
      <c r="D9" s="72" t="s">
        <v>144</v>
      </c>
      <c r="E9" s="72" t="s">
        <v>126</v>
      </c>
      <c r="F9" s="71" t="str">
        <f t="shared" si="0"/>
        <v>Mandatory</v>
      </c>
      <c r="G9" s="8"/>
      <c r="H9" s="29"/>
      <c r="I9" s="8"/>
      <c r="J9" s="8"/>
      <c r="K9" s="29"/>
      <c r="L9" s="22"/>
      <c r="M9" s="72">
        <v>1</v>
      </c>
      <c r="N9" s="72">
        <v>1</v>
      </c>
      <c r="O9" s="72">
        <v>1</v>
      </c>
      <c r="P9" s="72">
        <v>3</v>
      </c>
      <c r="Q9" s="72">
        <v>3</v>
      </c>
      <c r="R9" s="72">
        <f t="shared" si="1"/>
        <v>18</v>
      </c>
    </row>
    <row r="10" spans="1:18" ht="80.5" x14ac:dyDescent="0.35">
      <c r="A10" s="72" t="s">
        <v>145</v>
      </c>
      <c r="B10" s="72" t="s">
        <v>110</v>
      </c>
      <c r="C10" s="72" t="s">
        <v>146</v>
      </c>
      <c r="D10" s="72" t="s">
        <v>147</v>
      </c>
      <c r="E10" s="72" t="s">
        <v>126</v>
      </c>
      <c r="F10" s="71" t="str">
        <f t="shared" si="0"/>
        <v>Mandatory</v>
      </c>
      <c r="G10" s="8"/>
      <c r="H10" s="29"/>
      <c r="I10" s="8"/>
      <c r="J10" s="8"/>
      <c r="K10" s="29"/>
      <c r="L10" s="22"/>
      <c r="M10" s="72">
        <v>1</v>
      </c>
      <c r="N10" s="72">
        <v>1</v>
      </c>
      <c r="O10" s="72">
        <v>0</v>
      </c>
      <c r="P10" s="72">
        <v>2</v>
      </c>
      <c r="Q10" s="72">
        <v>3</v>
      </c>
      <c r="R10" s="72">
        <f t="shared" si="1"/>
        <v>10</v>
      </c>
    </row>
    <row r="11" spans="1:18" ht="23" x14ac:dyDescent="0.35">
      <c r="A11" s="72" t="s">
        <v>148</v>
      </c>
      <c r="B11" s="72" t="s">
        <v>110</v>
      </c>
      <c r="C11" s="72" t="s">
        <v>149</v>
      </c>
      <c r="D11" s="72" t="s">
        <v>150</v>
      </c>
      <c r="E11" s="72" t="s">
        <v>126</v>
      </c>
      <c r="F11" s="71" t="str">
        <f t="shared" si="0"/>
        <v>Mandatory</v>
      </c>
      <c r="G11" s="8"/>
      <c r="H11" s="29"/>
      <c r="I11" s="8"/>
      <c r="J11" s="8"/>
      <c r="K11" s="29"/>
      <c r="L11" s="22"/>
      <c r="M11" s="72">
        <v>1</v>
      </c>
      <c r="N11" s="72">
        <v>1</v>
      </c>
      <c r="O11" s="72">
        <v>0</v>
      </c>
      <c r="P11" s="72">
        <v>2</v>
      </c>
      <c r="Q11" s="72">
        <v>3</v>
      </c>
      <c r="R11" s="72">
        <f t="shared" si="1"/>
        <v>10</v>
      </c>
    </row>
    <row r="12" spans="1:18" ht="46" x14ac:dyDescent="0.35">
      <c r="A12" s="72" t="s">
        <v>151</v>
      </c>
      <c r="B12" s="72" t="s">
        <v>110</v>
      </c>
      <c r="C12" s="72" t="s">
        <v>152</v>
      </c>
      <c r="D12" s="72" t="s">
        <v>153</v>
      </c>
      <c r="E12" s="72" t="s">
        <v>126</v>
      </c>
      <c r="F12" s="71" t="str">
        <f t="shared" si="0"/>
        <v>Mandatory</v>
      </c>
      <c r="G12" s="8"/>
      <c r="H12" s="29"/>
      <c r="I12" s="8"/>
      <c r="J12" s="8"/>
      <c r="K12" s="29"/>
      <c r="L12" s="22"/>
      <c r="M12" s="72">
        <v>1</v>
      </c>
      <c r="N12" s="72">
        <v>1</v>
      </c>
      <c r="O12" s="72">
        <v>0</v>
      </c>
      <c r="P12" s="72">
        <v>2</v>
      </c>
      <c r="Q12" s="72">
        <v>3</v>
      </c>
      <c r="R12" s="72">
        <f t="shared" si="1"/>
        <v>10</v>
      </c>
    </row>
    <row r="13" spans="1:18" ht="57.5" x14ac:dyDescent="0.35">
      <c r="A13" s="72" t="s">
        <v>154</v>
      </c>
      <c r="B13" s="72" t="s">
        <v>110</v>
      </c>
      <c r="C13" s="72" t="s">
        <v>155</v>
      </c>
      <c r="D13" s="72" t="s">
        <v>156</v>
      </c>
      <c r="E13" s="72" t="s">
        <v>126</v>
      </c>
      <c r="F13" s="71" t="str">
        <f t="shared" si="0"/>
        <v>Mandatory</v>
      </c>
      <c r="G13" s="8"/>
      <c r="H13" s="29"/>
      <c r="I13" s="8"/>
      <c r="J13" s="8"/>
      <c r="K13" s="29"/>
      <c r="L13" s="22"/>
      <c r="M13" s="72">
        <v>1</v>
      </c>
      <c r="N13" s="72">
        <v>1</v>
      </c>
      <c r="O13" s="72">
        <v>0</v>
      </c>
      <c r="P13" s="72">
        <v>3</v>
      </c>
      <c r="Q13" s="72">
        <v>3</v>
      </c>
      <c r="R13" s="72">
        <f t="shared" si="1"/>
        <v>12</v>
      </c>
    </row>
    <row r="14" spans="1:18" s="17" customFormat="1" ht="80.400000000000006" customHeight="1" x14ac:dyDescent="0.35">
      <c r="A14" s="72" t="s">
        <v>157</v>
      </c>
      <c r="B14" s="72" t="s">
        <v>110</v>
      </c>
      <c r="C14" s="72" t="s">
        <v>158</v>
      </c>
      <c r="D14" s="72" t="s">
        <v>159</v>
      </c>
      <c r="E14" s="72" t="s">
        <v>126</v>
      </c>
      <c r="F14" s="71" t="str">
        <f t="shared" si="0"/>
        <v>Mandatory</v>
      </c>
      <c r="G14" s="8"/>
      <c r="H14" s="29"/>
      <c r="I14" s="8"/>
      <c r="J14" s="8"/>
      <c r="K14" s="29"/>
      <c r="L14" s="22"/>
      <c r="M14" s="72">
        <v>1</v>
      </c>
      <c r="N14" s="72">
        <v>1</v>
      </c>
      <c r="O14" s="72">
        <v>0</v>
      </c>
      <c r="P14" s="72">
        <v>3</v>
      </c>
      <c r="Q14" s="72">
        <v>3</v>
      </c>
      <c r="R14" s="72">
        <f t="shared" si="1"/>
        <v>12</v>
      </c>
    </row>
    <row r="15" spans="1:18" ht="46" x14ac:dyDescent="0.35">
      <c r="A15" s="72" t="s">
        <v>160</v>
      </c>
      <c r="B15" s="72" t="s">
        <v>110</v>
      </c>
      <c r="C15" s="72" t="s">
        <v>161</v>
      </c>
      <c r="D15" s="72" t="s">
        <v>162</v>
      </c>
      <c r="E15" s="72" t="s">
        <v>126</v>
      </c>
      <c r="F15" s="71" t="str">
        <f t="shared" si="0"/>
        <v>Mandatory</v>
      </c>
      <c r="G15" s="8"/>
      <c r="H15" s="29"/>
      <c r="I15" s="8"/>
      <c r="J15" s="8"/>
      <c r="K15" s="29"/>
      <c r="L15" s="22"/>
      <c r="M15" s="72">
        <v>1</v>
      </c>
      <c r="N15" s="72">
        <v>1</v>
      </c>
      <c r="O15" s="72">
        <v>0</v>
      </c>
      <c r="P15" s="72">
        <v>3</v>
      </c>
      <c r="Q15" s="72">
        <v>3</v>
      </c>
      <c r="R15" s="72">
        <f t="shared" si="1"/>
        <v>12</v>
      </c>
    </row>
    <row r="16" spans="1:18" ht="23" x14ac:dyDescent="0.35">
      <c r="A16" s="72" t="s">
        <v>163</v>
      </c>
      <c r="B16" s="72" t="s">
        <v>110</v>
      </c>
      <c r="C16" s="72" t="s">
        <v>164</v>
      </c>
      <c r="D16" s="72" t="s">
        <v>165</v>
      </c>
      <c r="E16" s="72" t="s">
        <v>126</v>
      </c>
      <c r="F16" s="71" t="str">
        <f t="shared" si="0"/>
        <v>Mandatory</v>
      </c>
      <c r="G16" s="8"/>
      <c r="H16" s="29"/>
      <c r="I16" s="8"/>
      <c r="J16" s="8"/>
      <c r="K16" s="29"/>
      <c r="L16" s="22"/>
      <c r="M16" s="72">
        <v>1</v>
      </c>
      <c r="N16" s="72">
        <v>1</v>
      </c>
      <c r="O16" s="72">
        <v>0</v>
      </c>
      <c r="P16" s="72">
        <v>3</v>
      </c>
      <c r="Q16" s="72">
        <v>3</v>
      </c>
      <c r="R16" s="72">
        <f t="shared" si="1"/>
        <v>12</v>
      </c>
    </row>
    <row r="17" spans="1:18" ht="34.5" x14ac:dyDescent="0.35">
      <c r="A17" s="72" t="s">
        <v>166</v>
      </c>
      <c r="B17" s="72" t="s">
        <v>110</v>
      </c>
      <c r="C17" s="72" t="s">
        <v>167</v>
      </c>
      <c r="D17" s="72" t="s">
        <v>168</v>
      </c>
      <c r="E17" s="72" t="s">
        <v>126</v>
      </c>
      <c r="F17" s="71" t="str">
        <f t="shared" si="0"/>
        <v>Mandatory</v>
      </c>
      <c r="G17" s="8"/>
      <c r="H17" s="29"/>
      <c r="I17" s="8"/>
      <c r="J17" s="8"/>
      <c r="K17" s="29"/>
      <c r="L17" s="22"/>
      <c r="M17" s="72">
        <v>1</v>
      </c>
      <c r="N17" s="72">
        <v>1</v>
      </c>
      <c r="O17" s="72">
        <v>0</v>
      </c>
      <c r="P17" s="72">
        <v>3</v>
      </c>
      <c r="Q17" s="72">
        <v>3</v>
      </c>
      <c r="R17" s="72">
        <f t="shared" si="1"/>
        <v>12</v>
      </c>
    </row>
    <row r="18" spans="1:18" ht="46" x14ac:dyDescent="0.35">
      <c r="A18" s="72" t="s">
        <v>169</v>
      </c>
      <c r="B18" s="72" t="s">
        <v>110</v>
      </c>
      <c r="C18" s="72" t="s">
        <v>170</v>
      </c>
      <c r="D18" s="72" t="s">
        <v>171</v>
      </c>
      <c r="E18" s="72" t="s">
        <v>126</v>
      </c>
      <c r="F18" s="71" t="str">
        <f t="shared" si="0"/>
        <v>Mandatory</v>
      </c>
      <c r="G18" s="8"/>
      <c r="H18" s="29"/>
      <c r="I18" s="8"/>
      <c r="J18" s="8"/>
      <c r="K18" s="29"/>
      <c r="L18" s="22"/>
      <c r="M18" s="72">
        <v>1</v>
      </c>
      <c r="N18" s="72">
        <v>1</v>
      </c>
      <c r="O18" s="72">
        <v>0</v>
      </c>
      <c r="P18" s="72">
        <v>3</v>
      </c>
      <c r="Q18" s="72">
        <v>3</v>
      </c>
      <c r="R18" s="72">
        <f t="shared" si="1"/>
        <v>12</v>
      </c>
    </row>
    <row r="19" spans="1:18" ht="46" x14ac:dyDescent="0.35">
      <c r="A19" s="72" t="s">
        <v>172</v>
      </c>
      <c r="B19" s="72" t="s">
        <v>110</v>
      </c>
      <c r="C19" s="72" t="s">
        <v>173</v>
      </c>
      <c r="D19" s="72" t="s">
        <v>174</v>
      </c>
      <c r="E19" s="72" t="s">
        <v>126</v>
      </c>
      <c r="F19" s="71" t="str">
        <f t="shared" si="0"/>
        <v>Mandatory</v>
      </c>
      <c r="G19" s="8"/>
      <c r="H19" s="29"/>
      <c r="I19" s="8"/>
      <c r="J19" s="8"/>
      <c r="K19" s="29"/>
      <c r="L19" s="22"/>
      <c r="M19" s="72">
        <v>1</v>
      </c>
      <c r="N19" s="72">
        <v>1</v>
      </c>
      <c r="O19" s="72">
        <v>0</v>
      </c>
      <c r="P19" s="72">
        <v>3</v>
      </c>
      <c r="Q19" s="72">
        <v>3</v>
      </c>
      <c r="R19" s="72">
        <f t="shared" si="1"/>
        <v>12</v>
      </c>
    </row>
    <row r="20" spans="1:18" ht="57.65" customHeight="1" x14ac:dyDescent="0.35">
      <c r="A20" s="72" t="s">
        <v>175</v>
      </c>
      <c r="B20" s="72" t="s">
        <v>110</v>
      </c>
      <c r="C20" s="72" t="s">
        <v>176</v>
      </c>
      <c r="D20" s="72" t="s">
        <v>177</v>
      </c>
      <c r="E20" s="72" t="s">
        <v>126</v>
      </c>
      <c r="F20" s="71" t="str">
        <f t="shared" si="0"/>
        <v>Mandatory</v>
      </c>
      <c r="G20" s="8"/>
      <c r="H20" s="29"/>
      <c r="I20" s="8"/>
      <c r="J20" s="8"/>
      <c r="K20" s="29"/>
      <c r="L20" s="22"/>
      <c r="M20" s="72">
        <v>1</v>
      </c>
      <c r="N20" s="72">
        <v>1</v>
      </c>
      <c r="O20" s="72">
        <v>0</v>
      </c>
      <c r="P20" s="72">
        <v>3</v>
      </c>
      <c r="Q20" s="72">
        <v>2</v>
      </c>
      <c r="R20" s="72">
        <f t="shared" si="1"/>
        <v>10</v>
      </c>
    </row>
    <row r="21" spans="1:18" ht="23" x14ac:dyDescent="0.35">
      <c r="A21" s="72" t="s">
        <v>178</v>
      </c>
      <c r="B21" s="72" t="s">
        <v>40</v>
      </c>
      <c r="C21" s="72" t="s">
        <v>179</v>
      </c>
      <c r="D21" s="72" t="s">
        <v>180</v>
      </c>
      <c r="E21" s="72" t="s">
        <v>126</v>
      </c>
      <c r="F21" s="71" t="str">
        <f t="shared" si="0"/>
        <v>Mandatory</v>
      </c>
      <c r="G21" s="8"/>
      <c r="H21" s="29"/>
      <c r="I21" s="8"/>
      <c r="J21" s="8"/>
      <c r="K21" s="29"/>
      <c r="L21" s="22"/>
      <c r="M21" s="72">
        <v>1</v>
      </c>
      <c r="N21" s="72">
        <v>1</v>
      </c>
      <c r="O21" s="72">
        <v>0</v>
      </c>
      <c r="P21" s="72">
        <v>3</v>
      </c>
      <c r="Q21" s="72">
        <v>3</v>
      </c>
      <c r="R21" s="72">
        <f t="shared" si="1"/>
        <v>12</v>
      </c>
    </row>
    <row r="22" spans="1:18" ht="23" x14ac:dyDescent="0.35">
      <c r="A22" s="72" t="s">
        <v>181</v>
      </c>
      <c r="B22" s="72" t="s">
        <v>40</v>
      </c>
      <c r="C22" s="72" t="s">
        <v>182</v>
      </c>
      <c r="D22" s="72" t="s">
        <v>183</v>
      </c>
      <c r="E22" s="72" t="s">
        <v>126</v>
      </c>
      <c r="F22" s="71" t="str">
        <f t="shared" si="0"/>
        <v>Mandatory</v>
      </c>
      <c r="G22" s="8"/>
      <c r="H22" s="29"/>
      <c r="I22" s="8"/>
      <c r="J22" s="8"/>
      <c r="K22" s="29"/>
      <c r="L22" s="22"/>
      <c r="M22" s="72">
        <v>1</v>
      </c>
      <c r="N22" s="72">
        <v>1</v>
      </c>
      <c r="O22" s="72">
        <v>0</v>
      </c>
      <c r="P22" s="72">
        <v>3</v>
      </c>
      <c r="Q22" s="72">
        <v>3</v>
      </c>
      <c r="R22" s="72">
        <f t="shared" si="1"/>
        <v>12</v>
      </c>
    </row>
    <row r="23" spans="1:18" ht="69" x14ac:dyDescent="0.35">
      <c r="A23" s="72" t="s">
        <v>184</v>
      </c>
      <c r="B23" s="72" t="s">
        <v>40</v>
      </c>
      <c r="C23" s="72" t="s">
        <v>185</v>
      </c>
      <c r="D23" s="72" t="s">
        <v>186</v>
      </c>
      <c r="E23" s="72" t="s">
        <v>126</v>
      </c>
      <c r="F23" s="71" t="str">
        <f t="shared" si="0"/>
        <v>Mandatory</v>
      </c>
      <c r="G23" s="8"/>
      <c r="H23" s="29"/>
      <c r="I23" s="8"/>
      <c r="J23" s="8"/>
      <c r="K23" s="29"/>
      <c r="L23" s="22"/>
      <c r="M23" s="72">
        <v>1</v>
      </c>
      <c r="N23" s="72">
        <v>1</v>
      </c>
      <c r="O23" s="72">
        <v>0</v>
      </c>
      <c r="P23" s="72">
        <v>3</v>
      </c>
      <c r="Q23" s="72">
        <v>3</v>
      </c>
      <c r="R23" s="72">
        <f t="shared" si="1"/>
        <v>12</v>
      </c>
    </row>
    <row r="24" spans="1:18" ht="126.65" customHeight="1" x14ac:dyDescent="0.35">
      <c r="A24" s="72" t="s">
        <v>187</v>
      </c>
      <c r="B24" s="72" t="s">
        <v>40</v>
      </c>
      <c r="C24" s="72" t="s">
        <v>188</v>
      </c>
      <c r="D24" s="72" t="s">
        <v>189</v>
      </c>
      <c r="E24" s="72" t="s">
        <v>126</v>
      </c>
      <c r="F24" s="71" t="str">
        <f t="shared" si="0"/>
        <v>Mandatory</v>
      </c>
      <c r="G24" s="8"/>
      <c r="H24" s="29"/>
      <c r="I24" s="8"/>
      <c r="J24" s="8"/>
      <c r="K24" s="29"/>
      <c r="L24" s="22"/>
      <c r="M24" s="72">
        <v>1</v>
      </c>
      <c r="N24" s="72">
        <v>1</v>
      </c>
      <c r="O24" s="72">
        <v>0</v>
      </c>
      <c r="P24" s="72">
        <v>3</v>
      </c>
      <c r="Q24" s="72">
        <v>3</v>
      </c>
      <c r="R24" s="72">
        <f t="shared" si="1"/>
        <v>12</v>
      </c>
    </row>
    <row r="25" spans="1:18" ht="126.65" customHeight="1" x14ac:dyDescent="0.35">
      <c r="A25" s="72" t="s">
        <v>190</v>
      </c>
      <c r="B25" s="72" t="s">
        <v>40</v>
      </c>
      <c r="C25" s="72" t="s">
        <v>191</v>
      </c>
      <c r="D25" s="72" t="s">
        <v>192</v>
      </c>
      <c r="E25" s="72" t="s">
        <v>193</v>
      </c>
      <c r="F25" s="71" t="str">
        <f t="shared" si="0"/>
        <v>Mandatory</v>
      </c>
      <c r="G25" s="8"/>
      <c r="H25" s="29"/>
      <c r="I25" s="8"/>
      <c r="J25" s="8"/>
      <c r="K25" s="29"/>
      <c r="L25" s="22"/>
      <c r="M25" s="72">
        <v>1</v>
      </c>
      <c r="N25" s="72">
        <v>1</v>
      </c>
      <c r="O25" s="72">
        <v>1</v>
      </c>
      <c r="P25" s="72">
        <v>3</v>
      </c>
      <c r="Q25" s="72">
        <v>3</v>
      </c>
      <c r="R25" s="72">
        <f t="shared" si="1"/>
        <v>18</v>
      </c>
    </row>
    <row r="26" spans="1:18" ht="172.5" customHeight="1" x14ac:dyDescent="0.35">
      <c r="A26" s="72" t="s">
        <v>194</v>
      </c>
      <c r="B26" s="72" t="s">
        <v>40</v>
      </c>
      <c r="C26" s="72" t="s">
        <v>195</v>
      </c>
      <c r="D26" s="72" t="s">
        <v>196</v>
      </c>
      <c r="E26" s="72" t="s">
        <v>197</v>
      </c>
      <c r="F26" s="71" t="str">
        <f t="shared" si="0"/>
        <v>Mandatory</v>
      </c>
      <c r="G26" s="8"/>
      <c r="H26" s="29"/>
      <c r="I26" s="8"/>
      <c r="J26" s="8"/>
      <c r="K26" s="29"/>
      <c r="L26" s="22"/>
      <c r="M26" s="72">
        <v>1</v>
      </c>
      <c r="N26" s="72">
        <v>1</v>
      </c>
      <c r="O26" s="72">
        <v>1</v>
      </c>
      <c r="P26" s="72">
        <v>3</v>
      </c>
      <c r="Q26" s="72">
        <v>3</v>
      </c>
      <c r="R26" s="72">
        <f t="shared" si="1"/>
        <v>18</v>
      </c>
    </row>
    <row r="27" spans="1:18" ht="138" customHeight="1" x14ac:dyDescent="0.35">
      <c r="A27" s="72" t="s">
        <v>198</v>
      </c>
      <c r="B27" s="72" t="s">
        <v>40</v>
      </c>
      <c r="C27" s="72" t="s">
        <v>199</v>
      </c>
      <c r="D27" s="72" t="s">
        <v>200</v>
      </c>
      <c r="E27" s="72" t="s">
        <v>126</v>
      </c>
      <c r="F27" s="71" t="str">
        <f t="shared" si="0"/>
        <v>Mandatory</v>
      </c>
      <c r="G27" s="8"/>
      <c r="H27" s="29"/>
      <c r="I27" s="8"/>
      <c r="J27" s="8"/>
      <c r="K27" s="29"/>
      <c r="L27" s="22"/>
      <c r="M27" s="72">
        <v>1</v>
      </c>
      <c r="N27" s="72">
        <v>1</v>
      </c>
      <c r="O27" s="72">
        <v>1</v>
      </c>
      <c r="P27" s="72">
        <v>3</v>
      </c>
      <c r="Q27" s="72">
        <v>3</v>
      </c>
      <c r="R27" s="72">
        <f t="shared" si="1"/>
        <v>18</v>
      </c>
    </row>
    <row r="28" spans="1:18" ht="92.15" customHeight="1" x14ac:dyDescent="0.35">
      <c r="A28" s="72" t="s">
        <v>201</v>
      </c>
      <c r="B28" s="72" t="s">
        <v>40</v>
      </c>
      <c r="C28" s="72" t="s">
        <v>202</v>
      </c>
      <c r="D28" s="72" t="s">
        <v>203</v>
      </c>
      <c r="E28" s="72" t="s">
        <v>126</v>
      </c>
      <c r="F28" s="71" t="str">
        <f t="shared" si="0"/>
        <v>Mandatory</v>
      </c>
      <c r="G28" s="8"/>
      <c r="H28" s="29"/>
      <c r="I28" s="8"/>
      <c r="J28" s="8"/>
      <c r="K28" s="29"/>
      <c r="L28" s="22"/>
      <c r="M28" s="72">
        <v>1</v>
      </c>
      <c r="N28" s="72">
        <v>1</v>
      </c>
      <c r="O28" s="72">
        <v>1</v>
      </c>
      <c r="P28" s="72">
        <v>3</v>
      </c>
      <c r="Q28" s="72">
        <v>3</v>
      </c>
      <c r="R28" s="72">
        <f t="shared" si="1"/>
        <v>18</v>
      </c>
    </row>
    <row r="29" spans="1:18" ht="92.15" customHeight="1" x14ac:dyDescent="0.35">
      <c r="A29" s="72" t="s">
        <v>204</v>
      </c>
      <c r="B29" s="72" t="s">
        <v>113</v>
      </c>
      <c r="C29" s="72" t="s">
        <v>205</v>
      </c>
      <c r="D29" s="72" t="s">
        <v>206</v>
      </c>
      <c r="E29" s="72" t="s">
        <v>126</v>
      </c>
      <c r="F29" s="71" t="str">
        <f t="shared" si="0"/>
        <v>Mandatory</v>
      </c>
      <c r="G29" s="8"/>
      <c r="H29" s="29"/>
      <c r="I29" s="8"/>
      <c r="J29" s="8"/>
      <c r="K29" s="29"/>
      <c r="L29" s="22"/>
      <c r="M29" s="72">
        <v>1</v>
      </c>
      <c r="N29" s="72">
        <v>1</v>
      </c>
      <c r="O29" s="72">
        <v>0</v>
      </c>
      <c r="P29" s="72">
        <v>3</v>
      </c>
      <c r="Q29" s="72">
        <v>3</v>
      </c>
      <c r="R29" s="72">
        <f t="shared" si="1"/>
        <v>12</v>
      </c>
    </row>
    <row r="30" spans="1:18" ht="218.4" customHeight="1" x14ac:dyDescent="0.35">
      <c r="A30" s="72" t="s">
        <v>207</v>
      </c>
      <c r="B30" s="72" t="s">
        <v>113</v>
      </c>
      <c r="C30" s="72" t="s">
        <v>208</v>
      </c>
      <c r="D30" s="72" t="s">
        <v>209</v>
      </c>
      <c r="E30" s="72" t="s">
        <v>126</v>
      </c>
      <c r="F30" s="71" t="str">
        <f t="shared" si="0"/>
        <v>Mandatory</v>
      </c>
      <c r="G30" s="8"/>
      <c r="H30" s="29"/>
      <c r="I30" s="8"/>
      <c r="J30" s="8"/>
      <c r="K30" s="29"/>
      <c r="L30" s="22"/>
      <c r="M30" s="72">
        <v>1</v>
      </c>
      <c r="N30" s="72">
        <v>1</v>
      </c>
      <c r="O30" s="72">
        <v>0</v>
      </c>
      <c r="P30" s="72">
        <v>3</v>
      </c>
      <c r="Q30" s="72">
        <v>3</v>
      </c>
      <c r="R30" s="72">
        <f t="shared" si="1"/>
        <v>12</v>
      </c>
    </row>
    <row r="31" spans="1:18" ht="92.15" customHeight="1" x14ac:dyDescent="0.35">
      <c r="A31" s="72" t="s">
        <v>210</v>
      </c>
      <c r="B31" s="72" t="s">
        <v>113</v>
      </c>
      <c r="C31" s="72" t="s">
        <v>211</v>
      </c>
      <c r="D31" s="72" t="s">
        <v>212</v>
      </c>
      <c r="E31" s="72" t="s">
        <v>126</v>
      </c>
      <c r="F31" s="71" t="str">
        <f t="shared" si="0"/>
        <v>Mandatory</v>
      </c>
      <c r="G31" s="8"/>
      <c r="H31" s="29"/>
      <c r="I31" s="8"/>
      <c r="J31" s="8"/>
      <c r="K31" s="29"/>
      <c r="L31" s="22"/>
      <c r="M31" s="72">
        <v>1</v>
      </c>
      <c r="N31" s="72">
        <v>1</v>
      </c>
      <c r="O31" s="72">
        <v>0</v>
      </c>
      <c r="P31" s="72">
        <v>3</v>
      </c>
      <c r="Q31" s="72">
        <v>3</v>
      </c>
      <c r="R31" s="72">
        <f t="shared" si="1"/>
        <v>12</v>
      </c>
    </row>
    <row r="32" spans="1:18" ht="92.15" customHeight="1" x14ac:dyDescent="0.35">
      <c r="A32" s="72" t="s">
        <v>213</v>
      </c>
      <c r="B32" s="72" t="s">
        <v>113</v>
      </c>
      <c r="C32" s="72" t="s">
        <v>214</v>
      </c>
      <c r="D32" s="72" t="s">
        <v>215</v>
      </c>
      <c r="E32" s="72" t="s">
        <v>126</v>
      </c>
      <c r="F32" s="71" t="str">
        <f t="shared" si="0"/>
        <v>Mandatory</v>
      </c>
      <c r="G32" s="8"/>
      <c r="H32" s="29"/>
      <c r="I32" s="8"/>
      <c r="J32" s="8"/>
      <c r="K32" s="29"/>
      <c r="L32" s="22"/>
      <c r="M32" s="72">
        <v>1</v>
      </c>
      <c r="N32" s="72">
        <v>1</v>
      </c>
      <c r="O32" s="72">
        <v>0</v>
      </c>
      <c r="P32" s="72">
        <v>3</v>
      </c>
      <c r="Q32" s="72">
        <v>3</v>
      </c>
      <c r="R32" s="72">
        <f t="shared" si="1"/>
        <v>12</v>
      </c>
    </row>
    <row r="33" spans="1:18" ht="92.15" customHeight="1" x14ac:dyDescent="0.35">
      <c r="A33" s="72" t="s">
        <v>216</v>
      </c>
      <c r="B33" s="72" t="s">
        <v>113</v>
      </c>
      <c r="C33" s="72" t="s">
        <v>217</v>
      </c>
      <c r="D33" s="72" t="s">
        <v>218</v>
      </c>
      <c r="E33" s="72" t="s">
        <v>126</v>
      </c>
      <c r="F33" s="71" t="str">
        <f t="shared" si="0"/>
        <v>Mandatory</v>
      </c>
      <c r="G33" s="8"/>
      <c r="H33" s="29"/>
      <c r="I33" s="8"/>
      <c r="J33" s="8"/>
      <c r="K33" s="29"/>
      <c r="L33" s="22"/>
      <c r="M33" s="72">
        <v>1</v>
      </c>
      <c r="N33" s="72">
        <v>1</v>
      </c>
      <c r="O33" s="72">
        <v>0</v>
      </c>
      <c r="P33" s="72">
        <v>3</v>
      </c>
      <c r="Q33" s="72">
        <v>3</v>
      </c>
      <c r="R33" s="72">
        <f t="shared" si="1"/>
        <v>12</v>
      </c>
    </row>
    <row r="34" spans="1:18" ht="390.9" customHeight="1" x14ac:dyDescent="0.35">
      <c r="A34" s="72" t="s">
        <v>219</v>
      </c>
      <c r="B34" s="72" t="s">
        <v>113</v>
      </c>
      <c r="C34" s="72" t="s">
        <v>220</v>
      </c>
      <c r="D34" s="72" t="s">
        <v>221</v>
      </c>
      <c r="E34" s="72" t="s">
        <v>126</v>
      </c>
      <c r="F34" s="71" t="str">
        <f t="shared" si="0"/>
        <v>Mandatory</v>
      </c>
      <c r="G34" s="8"/>
      <c r="H34" s="29"/>
      <c r="I34" s="8"/>
      <c r="J34" s="8"/>
      <c r="K34" s="29"/>
      <c r="L34" s="22"/>
      <c r="M34" s="72">
        <v>1</v>
      </c>
      <c r="N34" s="72">
        <v>1</v>
      </c>
      <c r="O34" s="72">
        <v>0</v>
      </c>
      <c r="P34" s="72">
        <v>3</v>
      </c>
      <c r="Q34" s="72">
        <v>3</v>
      </c>
      <c r="R34" s="72">
        <f t="shared" si="1"/>
        <v>12</v>
      </c>
    </row>
    <row r="35" spans="1:18" ht="69" customHeight="1" x14ac:dyDescent="0.35">
      <c r="A35" s="72" t="s">
        <v>222</v>
      </c>
      <c r="B35" s="72" t="s">
        <v>113</v>
      </c>
      <c r="C35" s="72" t="s">
        <v>223</v>
      </c>
      <c r="D35" s="72" t="s">
        <v>224</v>
      </c>
      <c r="E35" s="72" t="s">
        <v>126</v>
      </c>
      <c r="F35" s="71" t="str">
        <f t="shared" si="0"/>
        <v>Mandatory</v>
      </c>
      <c r="G35" s="8"/>
      <c r="H35" s="29"/>
      <c r="I35" s="8"/>
      <c r="J35" s="8"/>
      <c r="K35" s="29"/>
      <c r="L35" s="22"/>
      <c r="M35" s="72">
        <v>1</v>
      </c>
      <c r="N35" s="72">
        <v>1</v>
      </c>
      <c r="O35" s="72">
        <v>0</v>
      </c>
      <c r="P35" s="72">
        <v>3</v>
      </c>
      <c r="Q35" s="72">
        <v>3</v>
      </c>
      <c r="R35" s="72">
        <f t="shared" si="1"/>
        <v>12</v>
      </c>
    </row>
    <row r="36" spans="1:18" ht="103.5" customHeight="1" x14ac:dyDescent="0.35">
      <c r="A36" s="72" t="s">
        <v>225</v>
      </c>
      <c r="B36" s="72" t="s">
        <v>113</v>
      </c>
      <c r="C36" s="72" t="s">
        <v>226</v>
      </c>
      <c r="D36" s="72" t="s">
        <v>227</v>
      </c>
      <c r="E36" s="72" t="s">
        <v>126</v>
      </c>
      <c r="F36" s="71" t="str">
        <f t="shared" si="0"/>
        <v>Mandatory</v>
      </c>
      <c r="G36" s="8"/>
      <c r="H36" s="29"/>
      <c r="I36" s="8"/>
      <c r="J36" s="8"/>
      <c r="K36" s="29"/>
      <c r="L36" s="22"/>
      <c r="M36" s="72">
        <v>1</v>
      </c>
      <c r="N36" s="72">
        <v>1</v>
      </c>
      <c r="O36" s="72">
        <v>0</v>
      </c>
      <c r="P36" s="72">
        <v>3</v>
      </c>
      <c r="Q36" s="72">
        <v>3</v>
      </c>
      <c r="R36" s="72">
        <f t="shared" si="1"/>
        <v>12</v>
      </c>
    </row>
    <row r="37" spans="1:18" ht="69" customHeight="1" x14ac:dyDescent="0.35">
      <c r="A37" s="72" t="s">
        <v>228</v>
      </c>
      <c r="B37" s="72" t="s">
        <v>115</v>
      </c>
      <c r="C37" s="72" t="s">
        <v>229</v>
      </c>
      <c r="D37" s="72" t="s">
        <v>230</v>
      </c>
      <c r="E37" s="72" t="s">
        <v>126</v>
      </c>
      <c r="F37" s="71" t="str">
        <f t="shared" si="0"/>
        <v>Mandatory</v>
      </c>
      <c r="G37" s="8"/>
      <c r="H37" s="29"/>
      <c r="I37" s="8"/>
      <c r="J37" s="8"/>
      <c r="K37" s="29"/>
      <c r="L37" s="22"/>
      <c r="M37" s="72">
        <v>0</v>
      </c>
      <c r="N37" s="72">
        <v>1</v>
      </c>
      <c r="O37" s="72">
        <v>0</v>
      </c>
      <c r="P37" s="72">
        <v>3</v>
      </c>
      <c r="Q37" s="72">
        <v>3</v>
      </c>
      <c r="R37" s="72">
        <f t="shared" si="1"/>
        <v>6</v>
      </c>
    </row>
    <row r="38" spans="1:18" ht="92.15" customHeight="1" x14ac:dyDescent="0.35">
      <c r="A38" s="72" t="s">
        <v>231</v>
      </c>
      <c r="B38" s="72" t="s">
        <v>115</v>
      </c>
      <c r="C38" s="72" t="s">
        <v>232</v>
      </c>
      <c r="D38" s="72" t="s">
        <v>233</v>
      </c>
      <c r="E38" s="72" t="s">
        <v>126</v>
      </c>
      <c r="F38" s="71" t="str">
        <f t="shared" si="0"/>
        <v>Mandatory</v>
      </c>
      <c r="G38" s="8"/>
      <c r="H38" s="29"/>
      <c r="I38" s="8"/>
      <c r="J38" s="8"/>
      <c r="K38" s="29"/>
      <c r="L38" s="22"/>
      <c r="M38" s="72">
        <v>0</v>
      </c>
      <c r="N38" s="72">
        <v>1</v>
      </c>
      <c r="O38" s="72">
        <v>0</v>
      </c>
      <c r="P38" s="72">
        <v>3</v>
      </c>
      <c r="Q38" s="72">
        <v>3</v>
      </c>
      <c r="R38" s="72">
        <f t="shared" si="1"/>
        <v>6</v>
      </c>
    </row>
    <row r="39" spans="1:18" ht="103.5" customHeight="1" x14ac:dyDescent="0.35">
      <c r="A39" s="72" t="s">
        <v>234</v>
      </c>
      <c r="B39" s="72" t="s">
        <v>115</v>
      </c>
      <c r="C39" s="72" t="s">
        <v>235</v>
      </c>
      <c r="D39" s="72" t="s">
        <v>236</v>
      </c>
      <c r="E39" s="72" t="s">
        <v>126</v>
      </c>
      <c r="F39" s="71" t="str">
        <f t="shared" si="0"/>
        <v>Mandatory</v>
      </c>
      <c r="G39" s="8"/>
      <c r="H39" s="29"/>
      <c r="I39" s="8"/>
      <c r="J39" s="8"/>
      <c r="K39" s="29"/>
      <c r="L39" s="22"/>
      <c r="M39" s="72">
        <v>0</v>
      </c>
      <c r="N39" s="72">
        <v>1</v>
      </c>
      <c r="O39" s="72">
        <v>0</v>
      </c>
      <c r="P39" s="72">
        <v>3</v>
      </c>
      <c r="Q39" s="72">
        <v>3</v>
      </c>
      <c r="R39" s="72">
        <f t="shared" si="1"/>
        <v>6</v>
      </c>
    </row>
    <row r="40" spans="1:18" ht="80.400000000000006" customHeight="1" x14ac:dyDescent="0.35">
      <c r="A40" s="72" t="s">
        <v>237</v>
      </c>
      <c r="B40" s="72" t="s">
        <v>115</v>
      </c>
      <c r="C40" s="72" t="s">
        <v>238</v>
      </c>
      <c r="D40" s="72" t="s">
        <v>239</v>
      </c>
      <c r="E40" s="72" t="s">
        <v>126</v>
      </c>
      <c r="F40" s="71" t="str">
        <f t="shared" si="0"/>
        <v>Mandatory</v>
      </c>
      <c r="G40" s="8"/>
      <c r="H40" s="29"/>
      <c r="I40" s="8"/>
      <c r="J40" s="8"/>
      <c r="K40" s="29"/>
      <c r="L40" s="22"/>
      <c r="M40" s="72">
        <v>0</v>
      </c>
      <c r="N40" s="72">
        <v>1</v>
      </c>
      <c r="O40" s="72">
        <v>0</v>
      </c>
      <c r="P40" s="72">
        <v>3</v>
      </c>
      <c r="Q40" s="72">
        <v>3</v>
      </c>
      <c r="R40" s="72">
        <f t="shared" si="1"/>
        <v>6</v>
      </c>
    </row>
    <row r="41" spans="1:18" ht="69" customHeight="1" x14ac:dyDescent="0.35">
      <c r="A41" s="72" t="s">
        <v>240</v>
      </c>
      <c r="B41" s="72" t="s">
        <v>115</v>
      </c>
      <c r="C41" s="72" t="s">
        <v>241</v>
      </c>
      <c r="D41" s="72" t="s">
        <v>242</v>
      </c>
      <c r="E41" s="72" t="s">
        <v>126</v>
      </c>
      <c r="F41" s="71" t="str">
        <f t="shared" si="0"/>
        <v>Mandatory</v>
      </c>
      <c r="G41" s="8"/>
      <c r="H41" s="29"/>
      <c r="I41" s="8"/>
      <c r="J41" s="8"/>
      <c r="K41" s="29"/>
      <c r="L41" s="22"/>
      <c r="M41" s="72">
        <v>1</v>
      </c>
      <c r="N41" s="72">
        <v>1</v>
      </c>
      <c r="O41" s="72">
        <v>0</v>
      </c>
      <c r="P41" s="72">
        <v>3</v>
      </c>
      <c r="Q41" s="72">
        <v>3</v>
      </c>
      <c r="R41" s="72">
        <f t="shared" si="1"/>
        <v>12</v>
      </c>
    </row>
    <row r="42" spans="1:18" ht="114.9" customHeight="1" x14ac:dyDescent="0.35">
      <c r="A42" s="72" t="s">
        <v>243</v>
      </c>
      <c r="B42" s="72" t="s">
        <v>115</v>
      </c>
      <c r="C42" s="72" t="s">
        <v>244</v>
      </c>
      <c r="D42" s="72" t="s">
        <v>245</v>
      </c>
      <c r="E42" s="72" t="s">
        <v>126</v>
      </c>
      <c r="F42" s="71" t="str">
        <f t="shared" si="0"/>
        <v>Mandatory</v>
      </c>
      <c r="G42" s="8"/>
      <c r="H42" s="29"/>
      <c r="I42" s="8"/>
      <c r="J42" s="8"/>
      <c r="K42" s="29"/>
      <c r="L42" s="22"/>
      <c r="M42" s="72">
        <v>0</v>
      </c>
      <c r="N42" s="72">
        <v>1</v>
      </c>
      <c r="O42" s="72">
        <v>0</v>
      </c>
      <c r="P42" s="72">
        <v>3</v>
      </c>
      <c r="Q42" s="72">
        <v>3</v>
      </c>
      <c r="R42" s="72">
        <f t="shared" si="1"/>
        <v>6</v>
      </c>
    </row>
    <row r="43" spans="1:18" ht="69" customHeight="1" x14ac:dyDescent="0.35">
      <c r="A43" s="72" t="s">
        <v>246</v>
      </c>
      <c r="B43" s="72" t="s">
        <v>115</v>
      </c>
      <c r="C43" s="72" t="s">
        <v>247</v>
      </c>
      <c r="D43" s="72" t="s">
        <v>248</v>
      </c>
      <c r="E43" s="72" t="s">
        <v>126</v>
      </c>
      <c r="F43" s="71" t="str">
        <f t="shared" si="0"/>
        <v>Mandatory</v>
      </c>
      <c r="G43" s="8"/>
      <c r="H43" s="29"/>
      <c r="I43" s="8"/>
      <c r="J43" s="8"/>
      <c r="K43" s="29"/>
      <c r="L43" s="22"/>
      <c r="M43" s="72">
        <v>0</v>
      </c>
      <c r="N43" s="72">
        <v>1</v>
      </c>
      <c r="O43" s="72">
        <v>0</v>
      </c>
      <c r="P43" s="72">
        <v>3</v>
      </c>
      <c r="Q43" s="72">
        <v>3</v>
      </c>
      <c r="R43" s="72">
        <f t="shared" si="1"/>
        <v>6</v>
      </c>
    </row>
    <row r="44" spans="1:18" ht="126.65" customHeight="1" x14ac:dyDescent="0.35">
      <c r="A44" s="72" t="s">
        <v>249</v>
      </c>
      <c r="B44" s="72" t="s">
        <v>115</v>
      </c>
      <c r="C44" s="72" t="s">
        <v>250</v>
      </c>
      <c r="D44" s="72" t="s">
        <v>251</v>
      </c>
      <c r="E44" s="72" t="s">
        <v>126</v>
      </c>
      <c r="F44" s="71" t="str">
        <f t="shared" si="0"/>
        <v>Mandatory</v>
      </c>
      <c r="G44" s="8"/>
      <c r="H44" s="29"/>
      <c r="I44" s="8"/>
      <c r="J44" s="8"/>
      <c r="K44" s="29"/>
      <c r="L44" s="22"/>
      <c r="M44" s="72">
        <v>0</v>
      </c>
      <c r="N44" s="72">
        <v>1</v>
      </c>
      <c r="O44" s="72">
        <v>0</v>
      </c>
      <c r="P44" s="72">
        <v>3</v>
      </c>
      <c r="Q44" s="72">
        <v>3</v>
      </c>
      <c r="R44" s="72">
        <f t="shared" si="1"/>
        <v>6</v>
      </c>
    </row>
    <row r="45" spans="1:18" ht="80.400000000000006" customHeight="1" x14ac:dyDescent="0.35">
      <c r="A45" s="72" t="s">
        <v>252</v>
      </c>
      <c r="B45" s="72" t="s">
        <v>115</v>
      </c>
      <c r="C45" s="72" t="s">
        <v>253</v>
      </c>
      <c r="D45" s="72" t="s">
        <v>254</v>
      </c>
      <c r="E45" s="72" t="s">
        <v>126</v>
      </c>
      <c r="F45" s="71" t="str">
        <f t="shared" si="0"/>
        <v>Mandatory</v>
      </c>
      <c r="G45" s="8"/>
      <c r="H45" s="29"/>
      <c r="I45" s="8"/>
      <c r="J45" s="8"/>
      <c r="K45" s="29"/>
      <c r="L45" s="22"/>
      <c r="M45" s="72">
        <v>1</v>
      </c>
      <c r="N45" s="72">
        <v>1</v>
      </c>
      <c r="O45" s="72">
        <v>0</v>
      </c>
      <c r="P45" s="72">
        <v>3</v>
      </c>
      <c r="Q45" s="72">
        <v>3</v>
      </c>
      <c r="R45" s="72">
        <f t="shared" si="1"/>
        <v>12</v>
      </c>
    </row>
    <row r="46" spans="1:18" ht="34.5" x14ac:dyDescent="0.35">
      <c r="A46" s="72" t="s">
        <v>255</v>
      </c>
      <c r="B46" s="72" t="s">
        <v>115</v>
      </c>
      <c r="C46" s="72" t="s">
        <v>256</v>
      </c>
      <c r="D46" s="72" t="s">
        <v>257</v>
      </c>
      <c r="E46" s="72" t="s">
        <v>126</v>
      </c>
      <c r="F46" s="71" t="str">
        <f t="shared" si="0"/>
        <v>Mandatory</v>
      </c>
      <c r="G46" s="8"/>
      <c r="H46" s="29"/>
      <c r="I46" s="8"/>
      <c r="J46" s="8"/>
      <c r="K46" s="29"/>
      <c r="L46" s="22"/>
      <c r="M46" s="72">
        <v>0</v>
      </c>
      <c r="N46" s="72">
        <v>1</v>
      </c>
      <c r="O46" s="72">
        <v>0</v>
      </c>
      <c r="P46" s="72">
        <v>3</v>
      </c>
      <c r="Q46" s="72">
        <v>3</v>
      </c>
      <c r="R46" s="72">
        <f t="shared" si="1"/>
        <v>6</v>
      </c>
    </row>
    <row r="47" spans="1:18" ht="138" customHeight="1" x14ac:dyDescent="0.35">
      <c r="A47" s="72" t="s">
        <v>258</v>
      </c>
      <c r="B47" s="72" t="s">
        <v>115</v>
      </c>
      <c r="C47" s="72" t="s">
        <v>259</v>
      </c>
      <c r="D47" s="72" t="s">
        <v>260</v>
      </c>
      <c r="E47" s="72" t="s">
        <v>126</v>
      </c>
      <c r="F47" s="71" t="str">
        <f t="shared" si="0"/>
        <v>Mandatory</v>
      </c>
      <c r="G47" s="8"/>
      <c r="H47" s="29"/>
      <c r="I47" s="8"/>
      <c r="J47" s="8"/>
      <c r="K47" s="29"/>
      <c r="L47" s="22"/>
      <c r="M47" s="72">
        <v>0</v>
      </c>
      <c r="N47" s="72">
        <v>1</v>
      </c>
      <c r="O47" s="72">
        <v>0</v>
      </c>
      <c r="P47" s="72">
        <v>3</v>
      </c>
      <c r="Q47" s="72">
        <v>3</v>
      </c>
      <c r="R47" s="72">
        <f t="shared" si="1"/>
        <v>6</v>
      </c>
    </row>
    <row r="48" spans="1:18" ht="69" customHeight="1" x14ac:dyDescent="0.35">
      <c r="A48" s="72" t="s">
        <v>261</v>
      </c>
      <c r="B48" s="72" t="s">
        <v>117</v>
      </c>
      <c r="C48" s="72" t="s">
        <v>262</v>
      </c>
      <c r="D48" s="72" t="s">
        <v>263</v>
      </c>
      <c r="E48" s="72" t="s">
        <v>126</v>
      </c>
      <c r="F48" s="71" t="str">
        <f t="shared" si="0"/>
        <v>Mandatory</v>
      </c>
      <c r="G48" s="8"/>
      <c r="H48" s="29"/>
      <c r="I48" s="8"/>
      <c r="J48" s="8"/>
      <c r="K48" s="29"/>
      <c r="L48" s="22"/>
      <c r="M48" s="72">
        <v>1</v>
      </c>
      <c r="N48" s="72">
        <v>1</v>
      </c>
      <c r="O48" s="72">
        <v>1</v>
      </c>
      <c r="P48" s="72">
        <v>3</v>
      </c>
      <c r="Q48" s="72">
        <v>3</v>
      </c>
      <c r="R48" s="72">
        <f t="shared" si="1"/>
        <v>18</v>
      </c>
    </row>
    <row r="49" spans="1:18" ht="34.5" x14ac:dyDescent="0.35">
      <c r="A49" s="72" t="s">
        <v>264</v>
      </c>
      <c r="B49" s="72" t="s">
        <v>117</v>
      </c>
      <c r="C49" s="72" t="s">
        <v>265</v>
      </c>
      <c r="D49" s="72" t="s">
        <v>266</v>
      </c>
      <c r="E49" s="72" t="s">
        <v>126</v>
      </c>
      <c r="F49" s="71" t="str">
        <f t="shared" si="0"/>
        <v>Mandatory</v>
      </c>
      <c r="G49" s="8"/>
      <c r="H49" s="29"/>
      <c r="I49" s="8"/>
      <c r="J49" s="8"/>
      <c r="K49" s="29"/>
      <c r="L49" s="22"/>
      <c r="M49" s="72">
        <v>1</v>
      </c>
      <c r="N49" s="72">
        <v>1</v>
      </c>
      <c r="O49" s="72">
        <v>1</v>
      </c>
      <c r="P49" s="72">
        <v>3</v>
      </c>
      <c r="Q49" s="72">
        <v>3</v>
      </c>
      <c r="R49" s="72">
        <f t="shared" si="1"/>
        <v>18</v>
      </c>
    </row>
    <row r="50" spans="1:18" ht="69" x14ac:dyDescent="0.35">
      <c r="A50" s="72" t="s">
        <v>267</v>
      </c>
      <c r="B50" s="72" t="s">
        <v>117</v>
      </c>
      <c r="C50" s="72" t="s">
        <v>268</v>
      </c>
      <c r="D50" s="72" t="s">
        <v>269</v>
      </c>
      <c r="E50" s="72" t="s">
        <v>126</v>
      </c>
      <c r="F50" s="71" t="str">
        <f t="shared" si="0"/>
        <v>Mandatory</v>
      </c>
      <c r="G50" s="8"/>
      <c r="H50" s="29"/>
      <c r="I50" s="8"/>
      <c r="J50" s="8"/>
      <c r="K50" s="29"/>
      <c r="L50" s="22"/>
      <c r="M50" s="72">
        <v>0</v>
      </c>
      <c r="N50" s="72">
        <v>1</v>
      </c>
      <c r="O50" s="72">
        <v>0</v>
      </c>
      <c r="P50" s="72">
        <v>3</v>
      </c>
      <c r="Q50" s="72">
        <v>3</v>
      </c>
      <c r="R50" s="72">
        <f t="shared" si="1"/>
        <v>6</v>
      </c>
    </row>
    <row r="51" spans="1:18" ht="34.5" x14ac:dyDescent="0.35">
      <c r="A51" s="72" t="s">
        <v>270</v>
      </c>
      <c r="B51" s="72" t="s">
        <v>117</v>
      </c>
      <c r="C51" s="72" t="s">
        <v>271</v>
      </c>
      <c r="D51" s="72" t="s">
        <v>272</v>
      </c>
      <c r="E51" s="72" t="s">
        <v>126</v>
      </c>
      <c r="F51" s="71" t="str">
        <f t="shared" si="0"/>
        <v>Mandatory</v>
      </c>
      <c r="G51" s="8"/>
      <c r="H51" s="29"/>
      <c r="I51" s="8"/>
      <c r="J51" s="8"/>
      <c r="K51" s="29"/>
      <c r="L51" s="22"/>
      <c r="M51" s="72">
        <v>0</v>
      </c>
      <c r="N51" s="72">
        <v>1</v>
      </c>
      <c r="O51" s="72">
        <v>0</v>
      </c>
      <c r="P51" s="72">
        <v>3</v>
      </c>
      <c r="Q51" s="72">
        <v>3</v>
      </c>
      <c r="R51" s="72">
        <f t="shared" si="1"/>
        <v>6</v>
      </c>
    </row>
  </sheetData>
  <autoFilter ref="A1:S51" xr:uid="{4A2438C2-C1E2-4BE6-BCFC-901C417997FB}"/>
  <conditionalFormatting sqref="H2:H51">
    <cfRule type="cellIs" dxfId="19" priority="17" operator="equal">
      <formula>"Non Compliant"</formula>
    </cfRule>
    <cfRule type="cellIs" dxfId="18" priority="18" operator="equal">
      <formula>"Compliant"</formula>
    </cfRule>
  </conditionalFormatting>
  <conditionalFormatting sqref="H2:H51">
    <cfRule type="cellIs" dxfId="17" priority="16" operator="equal">
      <formula>"Request Control Exemption"</formula>
    </cfRule>
  </conditionalFormatting>
  <conditionalFormatting sqref="K2:K51">
    <cfRule type="cellIs" dxfId="16" priority="14" operator="equal">
      <formula>"Non Compliant"</formula>
    </cfRule>
    <cfRule type="cellIs" dxfId="15" priority="15" operator="equal">
      <formula>"Compliant"</formula>
    </cfRule>
  </conditionalFormatting>
  <conditionalFormatting sqref="K2:K51">
    <cfRule type="cellIs" dxfId="14" priority="13" operator="equal">
      <formula>"Control Exempted"</formula>
    </cfRule>
  </conditionalFormatting>
  <conditionalFormatting sqref="F2:F51">
    <cfRule type="containsText" dxfId="13" priority="1" operator="containsText" text="Secondary">
      <formula>NOT(ISERROR(SEARCH("Secondary",F2)))</formula>
    </cfRule>
    <cfRule type="containsText" dxfId="12" priority="2" operator="containsText" text="Mandatory">
      <formula>NOT(ISERROR(SEARCH("Mandatory",F2)))</formula>
    </cfRule>
  </conditionalFormatting>
  <dataValidations count="2">
    <dataValidation type="list" allowBlank="1" showInputMessage="1" showErrorMessage="1" sqref="K2:K51" xr:uid="{00000000-0002-0000-0300-000000000000}">
      <formula1>"Compliant, Non Compliant, Control Exempted"</formula1>
    </dataValidation>
    <dataValidation type="list" allowBlank="1" showInputMessage="1" showErrorMessage="1" sqref="H2:H51" xr:uid="{00000000-0002-0000-0300-000001000000}">
      <formula1>"Compliant, Non Compliant, Request Control Exemption"</formula1>
    </dataValidation>
  </dataValidations>
  <pageMargins left="0.7" right="0.7" top="0.75" bottom="0.75" header="0.3" footer="0.3"/>
  <pageSetup paperSize="9" orientation="portrait" verticalDpi="9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J59"/>
  <sheetViews>
    <sheetView zoomScale="60" zoomScaleNormal="60" workbookViewId="0">
      <selection sqref="A1:C1"/>
    </sheetView>
  </sheetViews>
  <sheetFormatPr defaultRowHeight="14.5" x14ac:dyDescent="0.35"/>
  <cols>
    <col min="1" max="1" width="60.54296875" style="37" customWidth="1"/>
    <col min="2" max="3" width="35.90625" style="37" customWidth="1"/>
    <col min="4" max="4" width="17.453125" customWidth="1"/>
    <col min="5" max="5" width="4.453125" customWidth="1"/>
    <col min="6" max="6" width="60.453125" customWidth="1"/>
    <col min="7" max="8" width="35.90625" customWidth="1"/>
    <col min="9" max="9" width="17.453125" customWidth="1"/>
    <col min="11" max="11" width="19.453125" customWidth="1"/>
    <col min="12" max="12" width="13.08984375" customWidth="1"/>
    <col min="13" max="13" width="11.453125" customWidth="1"/>
  </cols>
  <sheetData>
    <row r="1" spans="1:9" x14ac:dyDescent="0.35">
      <c r="A1" s="140" t="s">
        <v>41</v>
      </c>
      <c r="B1" s="141"/>
      <c r="C1" s="142"/>
      <c r="F1" s="140" t="s">
        <v>93</v>
      </c>
      <c r="G1" s="142"/>
    </row>
    <row r="2" spans="1:9" ht="12.9" customHeight="1" x14ac:dyDescent="0.35">
      <c r="A2" s="41" t="s">
        <v>42</v>
      </c>
      <c r="B2" s="41" t="s">
        <v>43</v>
      </c>
      <c r="C2" s="41" t="s">
        <v>44</v>
      </c>
      <c r="F2" s="56"/>
      <c r="G2" s="54" t="s">
        <v>94</v>
      </c>
    </row>
    <row r="3" spans="1:9" x14ac:dyDescent="0.35">
      <c r="A3" s="57"/>
      <c r="B3" s="57"/>
      <c r="C3" s="57"/>
      <c r="F3" s="53"/>
      <c r="G3" s="54" t="s">
        <v>95</v>
      </c>
    </row>
    <row r="4" spans="1:9" x14ac:dyDescent="0.35">
      <c r="A4" s="58"/>
      <c r="B4" s="58"/>
      <c r="C4" s="58"/>
    </row>
    <row r="5" spans="1:9" ht="14.4" customHeight="1" x14ac:dyDescent="0.35">
      <c r="A5" s="57" t="s">
        <v>99</v>
      </c>
      <c r="B5" s="57"/>
      <c r="C5" s="57"/>
      <c r="D5" s="36"/>
      <c r="E5" s="36"/>
    </row>
    <row r="8" spans="1:9" ht="14.4" customHeight="1" x14ac:dyDescent="0.35">
      <c r="A8" s="128" t="s">
        <v>45</v>
      </c>
      <c r="B8" s="128"/>
      <c r="C8" s="128"/>
      <c r="D8" s="128"/>
      <c r="F8" s="128" t="s">
        <v>46</v>
      </c>
      <c r="G8" s="129"/>
      <c r="H8" s="129"/>
      <c r="I8" s="129"/>
    </row>
    <row r="9" spans="1:9" s="40" customFormat="1" ht="14.4" customHeight="1" x14ac:dyDescent="0.35">
      <c r="A9" s="43" t="s">
        <v>47</v>
      </c>
      <c r="B9" s="130" t="s">
        <v>48</v>
      </c>
      <c r="C9" s="131"/>
      <c r="D9" s="132"/>
      <c r="E9" s="42"/>
      <c r="F9" s="73" t="s">
        <v>47</v>
      </c>
      <c r="G9" s="133" t="s">
        <v>48</v>
      </c>
      <c r="H9" s="133"/>
      <c r="I9" s="133"/>
    </row>
    <row r="10" spans="1:9" x14ac:dyDescent="0.35">
      <c r="A10" s="38" t="s">
        <v>49</v>
      </c>
      <c r="B10" s="134" t="s">
        <v>50</v>
      </c>
      <c r="C10" s="134"/>
      <c r="D10" s="134"/>
      <c r="F10" s="74" t="s">
        <v>51</v>
      </c>
      <c r="G10" s="138" t="str">
        <f>B14</f>
        <v>&lt;To be filled by Implementer&gt;</v>
      </c>
      <c r="H10" s="138"/>
      <c r="I10" s="138"/>
    </row>
    <row r="11" spans="1:9" ht="25" customHeight="1" x14ac:dyDescent="0.35">
      <c r="A11" s="38" t="s">
        <v>52</v>
      </c>
      <c r="B11" s="55" t="s">
        <v>53</v>
      </c>
      <c r="C11" s="55" t="s">
        <v>54</v>
      </c>
      <c r="D11" s="55" t="s">
        <v>275</v>
      </c>
      <c r="F11" s="74" t="s">
        <v>55</v>
      </c>
      <c r="G11" s="135">
        <f>COUNTIFS('MBSS Control Checklist'!K2:K51,"Control Exempted",'MBSS Control Checklist'!F2:F51,"Mandatory")</f>
        <v>0</v>
      </c>
      <c r="H11" s="135"/>
      <c r="I11" s="135"/>
    </row>
    <row r="12" spans="1:9" ht="41" customHeight="1" x14ac:dyDescent="0.35">
      <c r="A12" s="38" t="s">
        <v>56</v>
      </c>
      <c r="B12" s="134" t="s">
        <v>57</v>
      </c>
      <c r="C12" s="134"/>
      <c r="D12" s="134"/>
      <c r="F12" s="75" t="s">
        <v>81</v>
      </c>
      <c r="G12" s="123" t="str">
        <f>IF(COUNTIFS('MBSS Control Checklist'!K2:K51,"Control Exempted",'MBSS Control Checklist'!F2:F51,"Mandatory")=B13,"Total number of registered control exemption MATCHED with total number reported by Implementer","Total number of registered control exemption DOES NOT MATCHED with total number reported by Implementer")</f>
        <v>Total number of registered control exemption MATCHED with total number reported by Implementer</v>
      </c>
      <c r="H12" s="123"/>
      <c r="I12" s="123"/>
    </row>
    <row r="13" spans="1:9" x14ac:dyDescent="0.35">
      <c r="A13" s="45" t="s">
        <v>58</v>
      </c>
      <c r="B13" s="136">
        <f>COUNTIFS('MBSS Control Checklist'!H2:H51,"Request Control Exemption",'MBSS Control Checklist'!F2:F51,"Mandatory")</f>
        <v>0</v>
      </c>
      <c r="C13" s="136"/>
      <c r="D13" s="136"/>
      <c r="F13" s="74" t="s">
        <v>59</v>
      </c>
      <c r="G13" s="137" t="str">
        <f>B16</f>
        <v>&lt;To be filled by Implementer&gt;</v>
      </c>
      <c r="H13" s="137"/>
      <c r="I13" s="137"/>
    </row>
    <row r="14" spans="1:9" x14ac:dyDescent="0.35">
      <c r="A14" s="45" t="s">
        <v>51</v>
      </c>
      <c r="B14" s="125" t="s">
        <v>50</v>
      </c>
      <c r="C14" s="126"/>
      <c r="D14" s="127"/>
      <c r="F14" s="74" t="s">
        <v>60</v>
      </c>
      <c r="G14" s="139" t="s">
        <v>96</v>
      </c>
      <c r="H14" s="139"/>
      <c r="I14" s="139"/>
    </row>
    <row r="15" spans="1:9" ht="39.65" customHeight="1" x14ac:dyDescent="0.35">
      <c r="A15" s="45" t="s">
        <v>61</v>
      </c>
      <c r="B15" s="125" t="s">
        <v>50</v>
      </c>
      <c r="C15" s="126"/>
      <c r="D15" s="127"/>
      <c r="F15" s="75" t="s">
        <v>82</v>
      </c>
      <c r="G15" s="123" t="str">
        <f>IF(COUNTIFS('MBSS Control Checklist'!H2:H51,"Non compliant",'MBSS Control Checklist'!F2:F51,"Mandatory")=G14,"Risk acceptance registered MATCHED with number of non compliant reported by Implementer","Risk acceptance registered DOES NOT MATCHED with number of non compliant reported by Implementer")</f>
        <v>Risk acceptance registered DOES NOT MATCHED with number of non compliant reported by Implementer</v>
      </c>
      <c r="H15" s="123"/>
      <c r="I15" s="123"/>
    </row>
    <row r="16" spans="1:9" x14ac:dyDescent="0.35">
      <c r="A16" s="45" t="s">
        <v>59</v>
      </c>
      <c r="B16" s="125" t="s">
        <v>50</v>
      </c>
      <c r="C16" s="126"/>
      <c r="D16" s="127"/>
      <c r="F16" s="74" t="s">
        <v>62</v>
      </c>
      <c r="G16" s="124">
        <f>(COUNTIFS('MBSS Control Checklist'!K2:K51,"Compliant",'MBSS Control Checklist'!F2:F51,"Mandatory")+G11)/COUNTIF('MBSS Control Checklist'!F2:F51,"Mandatory")</f>
        <v>0</v>
      </c>
      <c r="H16" s="124"/>
      <c r="I16" s="124"/>
    </row>
    <row r="17" spans="1:10" x14ac:dyDescent="0.35">
      <c r="A17" s="45" t="s">
        <v>63</v>
      </c>
      <c r="B17" s="157">
        <f>((COUNTIFS('MBSS Control Checklist'!H2:H51,"Compliant",'MBSS Control Checklist'!F2:F51,"Mandatory"))+B13)/COUNTIF('MBSS Control Checklist'!F2:F51,"Mandatory")</f>
        <v>0</v>
      </c>
      <c r="C17" s="157"/>
      <c r="D17" s="157"/>
    </row>
    <row r="19" spans="1:10" x14ac:dyDescent="0.35">
      <c r="A19" s="128" t="s">
        <v>64</v>
      </c>
      <c r="B19" s="128"/>
      <c r="C19" s="128"/>
      <c r="D19" s="128"/>
      <c r="F19" s="128" t="s">
        <v>65</v>
      </c>
      <c r="G19" s="128"/>
      <c r="H19" s="128"/>
      <c r="I19" s="128"/>
    </row>
    <row r="20" spans="1:10" x14ac:dyDescent="0.35">
      <c r="A20" s="43" t="s">
        <v>47</v>
      </c>
      <c r="B20" s="130" t="s">
        <v>48</v>
      </c>
      <c r="C20" s="131"/>
      <c r="D20" s="132"/>
      <c r="F20" s="43" t="s">
        <v>47</v>
      </c>
      <c r="G20" s="130" t="s">
        <v>48</v>
      </c>
      <c r="H20" s="131"/>
      <c r="I20" s="132"/>
    </row>
    <row r="21" spans="1:10" ht="23" x14ac:dyDescent="0.35">
      <c r="A21" s="38" t="s">
        <v>66</v>
      </c>
      <c r="B21" s="55" t="s">
        <v>53</v>
      </c>
      <c r="C21" s="55" t="s">
        <v>54</v>
      </c>
      <c r="D21" s="55" t="s">
        <v>276</v>
      </c>
      <c r="F21" s="39" t="s">
        <v>67</v>
      </c>
      <c r="G21" s="148">
        <f>G16</f>
        <v>0</v>
      </c>
      <c r="H21" s="149"/>
      <c r="I21" s="150"/>
    </row>
    <row r="22" spans="1:10" ht="23" x14ac:dyDescent="0.35">
      <c r="A22" s="38" t="s">
        <v>68</v>
      </c>
      <c r="B22" s="134" t="s">
        <v>57</v>
      </c>
      <c r="C22" s="134"/>
      <c r="D22" s="134"/>
      <c r="F22" s="39" t="s">
        <v>69</v>
      </c>
      <c r="G22" s="52" t="s">
        <v>53</v>
      </c>
      <c r="H22" s="52" t="s">
        <v>54</v>
      </c>
      <c r="I22" s="52" t="s">
        <v>276</v>
      </c>
    </row>
    <row r="23" spans="1:10" x14ac:dyDescent="0.35">
      <c r="F23" s="39" t="s">
        <v>70</v>
      </c>
      <c r="G23" s="151" t="s">
        <v>57</v>
      </c>
      <c r="H23" s="152"/>
      <c r="I23" s="153"/>
    </row>
    <row r="26" spans="1:10" ht="23" x14ac:dyDescent="0.35">
      <c r="A26" s="154" t="s">
        <v>71</v>
      </c>
      <c r="B26" s="155"/>
      <c r="C26" s="155"/>
      <c r="D26" s="155"/>
      <c r="E26" s="155"/>
      <c r="F26" s="156"/>
      <c r="G26" s="146" t="s">
        <v>72</v>
      </c>
      <c r="H26" s="147"/>
      <c r="I26" s="147"/>
      <c r="J26" s="36"/>
    </row>
    <row r="27" spans="1:10" x14ac:dyDescent="0.35">
      <c r="A27" s="46"/>
      <c r="G27" s="76" t="s">
        <v>73</v>
      </c>
      <c r="H27" s="77" t="s">
        <v>74</v>
      </c>
      <c r="I27" s="78">
        <f>COUNTIF('MBSS Control Checklist'!F2:F51,"Mandatory")</f>
        <v>50</v>
      </c>
    </row>
    <row r="28" spans="1:10" x14ac:dyDescent="0.35">
      <c r="A28" s="46"/>
      <c r="G28" s="79"/>
      <c r="H28" s="79"/>
      <c r="I28" s="79"/>
    </row>
    <row r="29" spans="1:10" x14ac:dyDescent="0.35">
      <c r="A29" s="46"/>
      <c r="G29" s="143" t="s">
        <v>75</v>
      </c>
      <c r="H29" s="77" t="s">
        <v>83</v>
      </c>
      <c r="I29" s="78">
        <f>Data!C4</f>
        <v>0</v>
      </c>
    </row>
    <row r="30" spans="1:10" x14ac:dyDescent="0.35">
      <c r="A30" s="46"/>
      <c r="G30" s="144"/>
      <c r="H30" s="77" t="s">
        <v>84</v>
      </c>
      <c r="I30" s="78">
        <f>Data!E4</f>
        <v>0</v>
      </c>
    </row>
    <row r="31" spans="1:10" x14ac:dyDescent="0.35">
      <c r="A31" s="46"/>
      <c r="G31" s="144"/>
      <c r="H31" s="80" t="s">
        <v>86</v>
      </c>
      <c r="I31" s="78">
        <f>Data!D4</f>
        <v>0</v>
      </c>
    </row>
    <row r="32" spans="1:10" x14ac:dyDescent="0.35">
      <c r="A32" s="46"/>
      <c r="G32" s="145"/>
      <c r="H32" s="80" t="s">
        <v>89</v>
      </c>
      <c r="I32" s="81" t="str">
        <f>IF(SUM(I29:I31)=I27,"MATCHED","NOT MATCH")</f>
        <v>NOT MATCH</v>
      </c>
    </row>
    <row r="33" spans="1:9" x14ac:dyDescent="0.35">
      <c r="A33" s="46"/>
      <c r="G33" s="79"/>
      <c r="H33" s="79"/>
      <c r="I33" s="79"/>
    </row>
    <row r="34" spans="1:9" x14ac:dyDescent="0.35">
      <c r="A34" s="46"/>
      <c r="G34" s="143" t="s">
        <v>76</v>
      </c>
      <c r="H34" s="77" t="s">
        <v>83</v>
      </c>
      <c r="I34" s="78">
        <f>Data!C6</f>
        <v>0</v>
      </c>
    </row>
    <row r="35" spans="1:9" ht="23" x14ac:dyDescent="0.35">
      <c r="A35" s="46"/>
      <c r="G35" s="144"/>
      <c r="H35" s="77" t="s">
        <v>87</v>
      </c>
      <c r="I35" s="78">
        <f>Data!E6</f>
        <v>0</v>
      </c>
    </row>
    <row r="36" spans="1:9" ht="24" x14ac:dyDescent="0.35">
      <c r="A36" s="46"/>
      <c r="G36" s="144"/>
      <c r="H36" s="80" t="s">
        <v>88</v>
      </c>
      <c r="I36" s="82" t="str">
        <f>G14</f>
        <v>&lt;To be filled by CISO Officer&gt;</v>
      </c>
    </row>
    <row r="37" spans="1:9" x14ac:dyDescent="0.35">
      <c r="A37" s="46"/>
      <c r="G37" s="144"/>
      <c r="H37" s="80" t="s">
        <v>89</v>
      </c>
      <c r="I37" s="81" t="str">
        <f>IF(SUM(I34:I36)=I27,"MATCHED","NOT MATCH")</f>
        <v>NOT MATCH</v>
      </c>
    </row>
    <row r="38" spans="1:9" ht="23" x14ac:dyDescent="0.35">
      <c r="A38" s="46"/>
      <c r="G38" s="144"/>
      <c r="H38" s="80" t="s">
        <v>90</v>
      </c>
      <c r="I38" s="81" t="str">
        <f>IF(COUNTIFS('MBSS Control Checklist'!K2:K51,"Control Exempted",'MBSS Control Checklist'!F2:F51,"Mandatory")=B13,"MATCHED","NOT MATCH")</f>
        <v>MATCHED</v>
      </c>
    </row>
    <row r="39" spans="1:9" ht="45.65" customHeight="1" x14ac:dyDescent="0.35">
      <c r="A39" s="46"/>
      <c r="G39" s="144"/>
      <c r="H39" s="80" t="s">
        <v>91</v>
      </c>
      <c r="I39" s="81" t="str">
        <f>IF(COUNTIFS('MBSS Control Checklist'!H2:H51,"Non compliant",'MBSS Control Checklist'!F2:F51,"Mandatory")=G14,"MATCHED","NOT MATCH")</f>
        <v>NOT MATCH</v>
      </c>
    </row>
    <row r="40" spans="1:9" x14ac:dyDescent="0.35">
      <c r="A40" s="46"/>
      <c r="G40" s="145"/>
      <c r="H40" s="77" t="s">
        <v>67</v>
      </c>
      <c r="I40" s="83">
        <f>G16</f>
        <v>0</v>
      </c>
    </row>
    <row r="53" spans="1:3" x14ac:dyDescent="0.35">
      <c r="A53"/>
      <c r="B53"/>
      <c r="C53"/>
    </row>
    <row r="54" spans="1:3" x14ac:dyDescent="0.35">
      <c r="A54"/>
      <c r="B54"/>
      <c r="C54"/>
    </row>
    <row r="55" spans="1:3" x14ac:dyDescent="0.35">
      <c r="A55"/>
      <c r="B55"/>
      <c r="C55"/>
    </row>
    <row r="56" spans="1:3" x14ac:dyDescent="0.35">
      <c r="A56"/>
      <c r="B56"/>
      <c r="C56"/>
    </row>
    <row r="57" spans="1:3" x14ac:dyDescent="0.35">
      <c r="A57"/>
      <c r="B57"/>
      <c r="C57"/>
    </row>
    <row r="58" spans="1:3" x14ac:dyDescent="0.35">
      <c r="A58"/>
      <c r="B58"/>
      <c r="C58"/>
    </row>
    <row r="59" spans="1:3" x14ac:dyDescent="0.35">
      <c r="A59"/>
      <c r="B59"/>
      <c r="C59"/>
    </row>
  </sheetData>
  <dataConsolidate/>
  <mergeCells count="31">
    <mergeCell ref="A1:C1"/>
    <mergeCell ref="F1:G1"/>
    <mergeCell ref="G29:G32"/>
    <mergeCell ref="G34:G40"/>
    <mergeCell ref="G26:I26"/>
    <mergeCell ref="G21:I21"/>
    <mergeCell ref="B22:D22"/>
    <mergeCell ref="G23:I23"/>
    <mergeCell ref="A26:F26"/>
    <mergeCell ref="B15:D15"/>
    <mergeCell ref="B17:D17"/>
    <mergeCell ref="A19:D19"/>
    <mergeCell ref="F19:I19"/>
    <mergeCell ref="B20:D20"/>
    <mergeCell ref="G20:I20"/>
    <mergeCell ref="B16:D16"/>
    <mergeCell ref="G15:I15"/>
    <mergeCell ref="G16:I16"/>
    <mergeCell ref="B14:D14"/>
    <mergeCell ref="A8:D8"/>
    <mergeCell ref="F8:I8"/>
    <mergeCell ref="B9:D9"/>
    <mergeCell ref="G9:I9"/>
    <mergeCell ref="B10:D10"/>
    <mergeCell ref="G11:I11"/>
    <mergeCell ref="B12:D12"/>
    <mergeCell ref="G12:I12"/>
    <mergeCell ref="B13:D13"/>
    <mergeCell ref="G13:I13"/>
    <mergeCell ref="G10:I10"/>
    <mergeCell ref="G14:I14"/>
  </mergeCells>
  <conditionalFormatting sqref="G12:I12">
    <cfRule type="cellIs" dxfId="11" priority="13" operator="equal">
      <formula>"Total number of registered control exemption DOES NOT MATCHED with total number reported by Implementer"</formula>
    </cfRule>
    <cfRule type="cellIs" dxfId="10" priority="14" operator="equal">
      <formula>"Total number of registered control exemption MATCHED with total number reported by Implementer"</formula>
    </cfRule>
  </conditionalFormatting>
  <conditionalFormatting sqref="G15:I15">
    <cfRule type="cellIs" dxfId="9" priority="11" operator="equal">
      <formula>"Risk acceptance registered DOES NOT MATCHED with number of non compliant reported by Implementer"</formula>
    </cfRule>
    <cfRule type="cellIs" dxfId="8" priority="12" operator="equal">
      <formula>"Risk acceptance registered MATCHED with number of non compliant reported by Implementer"</formula>
    </cfRule>
  </conditionalFormatting>
  <conditionalFormatting sqref="I32">
    <cfRule type="cellIs" dxfId="7" priority="9" operator="equal">
      <formula>"NOT MATCH"</formula>
    </cfRule>
    <cfRule type="cellIs" dxfId="6" priority="10" operator="equal">
      <formula>"MATCHED"</formula>
    </cfRule>
  </conditionalFormatting>
  <conditionalFormatting sqref="I38">
    <cfRule type="cellIs" dxfId="5" priority="5" operator="equal">
      <formula>"NOT MATCH"</formula>
    </cfRule>
    <cfRule type="cellIs" dxfId="4" priority="6" operator="equal">
      <formula>"MATCHED"</formula>
    </cfRule>
  </conditionalFormatting>
  <conditionalFormatting sqref="I39">
    <cfRule type="cellIs" dxfId="3" priority="3" operator="equal">
      <formula>"NOT MATCH"</formula>
    </cfRule>
    <cfRule type="cellIs" dxfId="2" priority="4" operator="equal">
      <formula>"MATCHED"</formula>
    </cfRule>
  </conditionalFormatting>
  <conditionalFormatting sqref="I37">
    <cfRule type="cellIs" dxfId="1" priority="1" operator="equal">
      <formula>"NOT MATCH"</formula>
    </cfRule>
    <cfRule type="cellIs" dxfId="0" priority="2" operator="equal">
      <formula>"MATCHED"</formula>
    </cfRule>
  </conditionalFormatting>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7"/>
  <sheetViews>
    <sheetView workbookViewId="0">
      <selection activeCell="A3" sqref="A3:F7"/>
    </sheetView>
  </sheetViews>
  <sheetFormatPr defaultRowHeight="14.5" x14ac:dyDescent="0.35"/>
  <cols>
    <col min="1" max="1" width="27.453125" bestFit="1" customWidth="1"/>
    <col min="2" max="2" width="10" bestFit="1" customWidth="1"/>
    <col min="3" max="3" width="9.54296875" bestFit="1" customWidth="1"/>
    <col min="4" max="4" width="13.90625" bestFit="1" customWidth="1"/>
    <col min="5" max="5" width="16.08984375" bestFit="1" customWidth="1"/>
    <col min="6" max="6" width="5.08984375" bestFit="1" customWidth="1"/>
  </cols>
  <sheetData>
    <row r="1" spans="1:6" x14ac:dyDescent="0.35">
      <c r="A1" s="47" t="s">
        <v>77</v>
      </c>
    </row>
    <row r="3" spans="1:6" x14ac:dyDescent="0.35">
      <c r="A3" s="48" t="s">
        <v>78</v>
      </c>
      <c r="B3" s="48" t="s">
        <v>79</v>
      </c>
      <c r="C3" s="48" t="s">
        <v>18</v>
      </c>
      <c r="D3" s="48" t="s">
        <v>20</v>
      </c>
      <c r="E3" s="48" t="s">
        <v>85</v>
      </c>
      <c r="F3" s="48" t="s">
        <v>80</v>
      </c>
    </row>
    <row r="4" spans="1:6" x14ac:dyDescent="0.35">
      <c r="A4" s="158" t="s">
        <v>75</v>
      </c>
      <c r="B4" t="s">
        <v>11</v>
      </c>
      <c r="C4">
        <f>COUNTIFS('MBSS Control Checklist'!H2:H51,"Compliant",'MBSS Control Checklist'!F2:F51,"Mandatory")</f>
        <v>0</v>
      </c>
      <c r="D4">
        <f>COUNTIFS('MBSS Control Checklist'!H2:H51,"Non Compliant",'MBSS Control Checklist'!F2:F51,"Mandatory")</f>
        <v>0</v>
      </c>
      <c r="E4">
        <f>COUNTIFS('MBSS Control Checklist'!H2:H51,"Request Control Exemption",'MBSS Control Checklist'!F2:F51,"Mandatory")</f>
        <v>0</v>
      </c>
      <c r="F4">
        <f>SUM(C4:E4)</f>
        <v>0</v>
      </c>
    </row>
    <row r="5" spans="1:6" x14ac:dyDescent="0.35">
      <c r="A5" s="158"/>
      <c r="B5" t="s">
        <v>13</v>
      </c>
      <c r="C5">
        <f>COUNTIFS('MBSS Control Checklist'!H2:H51,"Compliant",'MBSS Control Checklist'!F2:F51,"Secondary")</f>
        <v>0</v>
      </c>
      <c r="D5">
        <f>COUNTIFS('MBSS Control Checklist'!H2:H51,"Non Compliant",'MBSS Control Checklist'!F2:F51,"Secondary")</f>
        <v>0</v>
      </c>
      <c r="E5">
        <f>COUNTIFS('MBSS Control Checklist'!H2:H51,"Request Control Exemption",'MBSS Control Checklist'!F2:F51,"Secondary")</f>
        <v>0</v>
      </c>
      <c r="F5">
        <f>SUM(C5:E5)</f>
        <v>0</v>
      </c>
    </row>
    <row r="6" spans="1:6" x14ac:dyDescent="0.35">
      <c r="A6" s="158" t="s">
        <v>76</v>
      </c>
      <c r="B6" t="s">
        <v>11</v>
      </c>
      <c r="C6">
        <f>COUNTIFS('MBSS Control Checklist'!K2:K51,"Compliant",'MBSS Control Checklist'!F2:F51,"Mandatory")</f>
        <v>0</v>
      </c>
      <c r="D6">
        <f>COUNTIFS('MBSS Control Checklist'!K2:K51,"Non Compliant",'MBSS Control Checklist'!F2:F51,"Mandatory")</f>
        <v>0</v>
      </c>
      <c r="E6">
        <f>COUNTIFS('MBSS Control Checklist'!K2:K51,"Control Exempted",'MBSS Control Checklist'!F2:F51,"Mandatory")</f>
        <v>0</v>
      </c>
      <c r="F6">
        <f>SUM(C6:E6)</f>
        <v>0</v>
      </c>
    </row>
    <row r="7" spans="1:6" x14ac:dyDescent="0.35">
      <c r="A7" s="158"/>
      <c r="B7" t="s">
        <v>13</v>
      </c>
      <c r="C7">
        <f>COUNTIFS('MBSS Control Checklist'!K2:K51,"Compliant",'MBSS Control Checklist'!F2:F51,"Secondary")</f>
        <v>0</v>
      </c>
      <c r="D7">
        <f>COUNTIFS('MBSS Control Checklist'!K2:K51,"Non Compliant",'MBSS Control Checklist'!F2:F51,"Secondary")</f>
        <v>0</v>
      </c>
      <c r="E7">
        <f>COUNTIFS('MBSS Control Checklist'!K2:K51,"Control Exempted",'MBSS Control Checklist'!F2:F51,"Secondary")</f>
        <v>0</v>
      </c>
      <c r="F7">
        <f>SUM(C7:E7)</f>
        <v>0</v>
      </c>
    </row>
  </sheetData>
  <mergeCells count="2">
    <mergeCell ref="A4:A5"/>
    <mergeCell ref="A6:A7"/>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13D3A486A623D4289D64EE78887764A" ma:contentTypeVersion="12" ma:contentTypeDescription="Create a new document." ma:contentTypeScope="" ma:versionID="bbc0810f19af20f9ba09fd5fedad7602">
  <xsd:schema xmlns:xsd="http://www.w3.org/2001/XMLSchema" xmlns:xs="http://www.w3.org/2001/XMLSchema" xmlns:p="http://schemas.microsoft.com/office/2006/metadata/properties" xmlns:ns2="dab6ade0-5275-49ac-9f34-8e4bffd5a92c" xmlns:ns3="4cfef318-c717-45bb-9b6f-9f7608bdf744" targetNamespace="http://schemas.microsoft.com/office/2006/metadata/properties" ma:root="true" ma:fieldsID="c342d5310333afa2388cae6b54f22f42" ns2:_="" ns3:_="">
    <xsd:import namespace="dab6ade0-5275-49ac-9f34-8e4bffd5a92c"/>
    <xsd:import namespace="4cfef318-c717-45bb-9b6f-9f7608bdf744"/>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EventHashCode" minOccurs="0"/>
                <xsd:element ref="ns3:MediaServiceGenerationTime" minOccurs="0"/>
                <xsd:element ref="ns3:MediaServiceAutoTags" minOccurs="0"/>
                <xsd:element ref="ns3:MediaServiceOCR" minOccurs="0"/>
                <xsd:element ref="ns3:MediaServiceDateTaken" minOccurs="0"/>
                <xsd:element ref="ns3:MediaServiceLocatio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ab6ade0-5275-49ac-9f34-8e4bffd5a92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cfef318-c717-45bb-9b6f-9f7608bdf744"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E9F60D9-8CD9-4C90-80A3-4CD1D01A592C}"/>
</file>

<file path=customXml/itemProps2.xml><?xml version="1.0" encoding="utf-8"?>
<ds:datastoreItem xmlns:ds="http://schemas.openxmlformats.org/officeDocument/2006/customXml" ds:itemID="{902BD1B9-4445-420A-B40B-1E61E3556AC2}">
  <ds:schemaRefs>
    <ds:schemaRef ds:uri="http://www.w3.org/XML/1998/namespace"/>
    <ds:schemaRef ds:uri="eb1f50e5-d040-430f-b97f-44e9daf17596"/>
    <ds:schemaRef ds:uri="c7ee5a53-0277-45a7-ac75-d55a66ea4974"/>
    <ds:schemaRef ds:uri="http://purl.org/dc/dcmitype/"/>
    <ds:schemaRef ds:uri="http://purl.org/dc/elements/1.1/"/>
    <ds:schemaRef ds:uri="http://purl.org/dc/terms/"/>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55957EF7-826E-455D-AAF7-062F70AAFB9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Cover Page</vt:lpstr>
      <vt:lpstr>Version Control</vt:lpstr>
      <vt:lpstr>Document Overview</vt:lpstr>
      <vt:lpstr>MBSS Control Checklist</vt:lpstr>
      <vt:lpstr>Dashboard</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Jannatul Ajilah Md Nor</dc:creator>
  <cp:keywords/>
  <dc:description/>
  <cp:lastModifiedBy>Henry waskita</cp:lastModifiedBy>
  <cp:revision>1</cp:revision>
  <dcterms:created xsi:type="dcterms:W3CDTF">2019-10-31T23:42:01Z</dcterms:created>
  <dcterms:modified xsi:type="dcterms:W3CDTF">2020-04-09T12:57:56Z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0x010100D13D3A486A623D4289D64EE78887764A</vt:lpwstr>
  </property>
  <property fmtid="{D5CDD505-2E9C-101B-9397-08002B2CF9AE}" pid="3" name="MSIP_Label_b309495b-77ee-40ed-ad1c-aaecf7fbb9ab_Enabled">
    <vt:lpwstr>True</vt:lpwstr>
  </property>
  <property fmtid="{D5CDD505-2E9C-101B-9397-08002B2CF9AE}" pid="4" name="MSIP_Label_b309495b-77ee-40ed-ad1c-aaecf7fbb9ab_SiteId">
    <vt:lpwstr>a1eae0da-f0d1-449d-8854-f54ddbda8711</vt:lpwstr>
  </property>
  <property fmtid="{D5CDD505-2E9C-101B-9397-08002B2CF9AE}" pid="5" name="MSIP_Label_b309495b-77ee-40ed-ad1c-aaecf7fbb9ab_Owner">
    <vt:lpwstr>HWASKITA@xl.co.id</vt:lpwstr>
  </property>
  <property fmtid="{D5CDD505-2E9C-101B-9397-08002B2CF9AE}" pid="6" name="MSIP_Label_b309495b-77ee-40ed-ad1c-aaecf7fbb9ab_SetDate">
    <vt:lpwstr>2020-04-09T12:57:40.8895788Z</vt:lpwstr>
  </property>
  <property fmtid="{D5CDD505-2E9C-101B-9397-08002B2CF9AE}" pid="7" name="MSIP_Label_b309495b-77ee-40ed-ad1c-aaecf7fbb9ab_Name">
    <vt:lpwstr>XL Axiata Public</vt:lpwstr>
  </property>
  <property fmtid="{D5CDD505-2E9C-101B-9397-08002B2CF9AE}" pid="8" name="MSIP_Label_b309495b-77ee-40ed-ad1c-aaecf7fbb9ab_Application">
    <vt:lpwstr>Microsoft Azure Information Protection</vt:lpwstr>
  </property>
  <property fmtid="{D5CDD505-2E9C-101B-9397-08002B2CF9AE}" pid="9" name="MSIP_Label_b309495b-77ee-40ed-ad1c-aaecf7fbb9ab_ActionId">
    <vt:lpwstr>07195650-5f63-4d67-98a8-3efd7721d2f8</vt:lpwstr>
  </property>
  <property fmtid="{D5CDD505-2E9C-101B-9397-08002B2CF9AE}" pid="10" name="MSIP_Label_b309495b-77ee-40ed-ad1c-aaecf7fbb9ab_Extended_MSFT_Method">
    <vt:lpwstr>Automatic</vt:lpwstr>
  </property>
  <property fmtid="{D5CDD505-2E9C-101B-9397-08002B2CF9AE}" pid="11" name="Sensitivity">
    <vt:lpwstr>XL Axiata Public</vt:lpwstr>
  </property>
</Properties>
</file>