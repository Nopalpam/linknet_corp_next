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hidePivotFieldList="1"/>
  <mc:AlternateContent xmlns:mc="http://schemas.openxmlformats.org/markup-compatibility/2006">
    <mc:Choice Requires="x15">
      <x15ac:absPath xmlns:x15ac="http://schemas.microsoft.com/office/spreadsheetml/2010/11/ac" url="C:\Users\Naufalp\Downloads\Document MBSS Onestream\"/>
    </mc:Choice>
  </mc:AlternateContent>
  <xr:revisionPtr revIDLastSave="0" documentId="13_ncr:1_{1C0A2114-0B3E-4FA2-AC67-DB87ECA8716F}" xr6:coauthVersionLast="47" xr6:coauthVersionMax="47" xr10:uidLastSave="{00000000-0000-0000-0000-000000000000}"/>
  <bookViews>
    <workbookView xWindow="-120" yWindow="-120" windowWidth="29040" windowHeight="15720" firstSheet="3" activeTab="3" xr2:uid="{00000000-000D-0000-FFFF-FFFF00000000}"/>
  </bookViews>
  <sheets>
    <sheet name="Cover Page" sheetId="2" r:id="rId1"/>
    <sheet name="Version Control" sheetId="24" r:id="rId2"/>
    <sheet name="Document Overview" sheetId="8" r:id="rId3"/>
    <sheet name="MBSS Control Checklist" sheetId="16" r:id="rId4"/>
    <sheet name="Dashboard" sheetId="26" r:id="rId5"/>
    <sheet name="Data" sheetId="27" state="hidden" r:id="rId6"/>
  </sheets>
  <externalReferences>
    <externalReference r:id="rId7"/>
  </externalReferences>
  <definedNames>
    <definedName name="_xlnm._FilterDatabase" localSheetId="3" hidden="1">'MBSS Control Checklist'!$A$1:$R$61</definedName>
    <definedName name="NetworkColumns">'[1]Validation Lists'!$D$2:$D$8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 i="27" l="1"/>
  <c r="D7" i="27"/>
  <c r="C7" i="27"/>
  <c r="F7" i="27" s="1"/>
  <c r="E6" i="27"/>
  <c r="I35" i="26" s="1"/>
  <c r="D6" i="27"/>
  <c r="C6" i="27"/>
  <c r="F6" i="27" s="1"/>
  <c r="E5" i="27"/>
  <c r="D5" i="27"/>
  <c r="E4" i="27"/>
  <c r="I30" i="26" s="1"/>
  <c r="D4" i="27"/>
  <c r="I31" i="26" s="1"/>
  <c r="I39" i="26"/>
  <c r="I36" i="26"/>
  <c r="G15" i="26"/>
  <c r="G13" i="26"/>
  <c r="B13" i="26"/>
  <c r="I38" i="26" s="1"/>
  <c r="G11" i="26"/>
  <c r="G10" i="26"/>
  <c r="R61" i="16"/>
  <c r="F61" i="16"/>
  <c r="R60" i="16"/>
  <c r="F60" i="16" s="1"/>
  <c r="R59" i="16"/>
  <c r="F59" i="16"/>
  <c r="R58" i="16"/>
  <c r="F58" i="16" s="1"/>
  <c r="R57" i="16"/>
  <c r="F57" i="16"/>
  <c r="R56" i="16"/>
  <c r="F56" i="16" s="1"/>
  <c r="R55" i="16"/>
  <c r="F55" i="16"/>
  <c r="R54" i="16"/>
  <c r="F54" i="16" s="1"/>
  <c r="R53" i="16"/>
  <c r="F53" i="16"/>
  <c r="R52" i="16"/>
  <c r="F52" i="16" s="1"/>
  <c r="R51" i="16"/>
  <c r="F51" i="16"/>
  <c r="R50" i="16"/>
  <c r="F50" i="16" s="1"/>
  <c r="R49" i="16"/>
  <c r="F49" i="16"/>
  <c r="R48" i="16"/>
  <c r="F48" i="16" s="1"/>
  <c r="R47" i="16"/>
  <c r="F47" i="16"/>
  <c r="R46" i="16"/>
  <c r="F46" i="16" s="1"/>
  <c r="R45" i="16"/>
  <c r="F45" i="16"/>
  <c r="R44" i="16"/>
  <c r="F44" i="16" s="1"/>
  <c r="R43" i="16"/>
  <c r="F43" i="16"/>
  <c r="R42" i="16"/>
  <c r="F42" i="16" s="1"/>
  <c r="R41" i="16"/>
  <c r="F41" i="16"/>
  <c r="R40" i="16"/>
  <c r="F40" i="16" s="1"/>
  <c r="R39" i="16"/>
  <c r="F39" i="16"/>
  <c r="R38" i="16"/>
  <c r="F38" i="16" s="1"/>
  <c r="R37" i="16"/>
  <c r="F37" i="16"/>
  <c r="R36" i="16"/>
  <c r="F36" i="16" s="1"/>
  <c r="R35" i="16"/>
  <c r="F35" i="16"/>
  <c r="R34" i="16"/>
  <c r="F34" i="16" s="1"/>
  <c r="R33" i="16"/>
  <c r="F33" i="16"/>
  <c r="R32" i="16"/>
  <c r="F32" i="16" s="1"/>
  <c r="R31" i="16"/>
  <c r="F31" i="16"/>
  <c r="R30" i="16"/>
  <c r="F30" i="16" s="1"/>
  <c r="R29" i="16"/>
  <c r="F29" i="16"/>
  <c r="R28" i="16"/>
  <c r="F28" i="16" s="1"/>
  <c r="R27" i="16"/>
  <c r="F27" i="16"/>
  <c r="R26" i="16"/>
  <c r="F26" i="16" s="1"/>
  <c r="R25" i="16"/>
  <c r="F25" i="16"/>
  <c r="R24" i="16"/>
  <c r="F24" i="16" s="1"/>
  <c r="R23" i="16"/>
  <c r="F23" i="16"/>
  <c r="R22" i="16"/>
  <c r="F22" i="16" s="1"/>
  <c r="R21" i="16"/>
  <c r="F21" i="16"/>
  <c r="R20" i="16"/>
  <c r="F20" i="16" s="1"/>
  <c r="R19" i="16"/>
  <c r="F19" i="16"/>
  <c r="R18" i="16"/>
  <c r="F18" i="16" s="1"/>
  <c r="R17" i="16"/>
  <c r="F17" i="16"/>
  <c r="R16" i="16"/>
  <c r="F16" i="16" s="1"/>
  <c r="R15" i="16"/>
  <c r="F15" i="16"/>
  <c r="R14" i="16"/>
  <c r="F14" i="16" s="1"/>
  <c r="R13" i="16"/>
  <c r="F13" i="16" s="1"/>
  <c r="R12" i="16"/>
  <c r="F12" i="16" s="1"/>
  <c r="R11" i="16"/>
  <c r="F11" i="16"/>
  <c r="R10" i="16"/>
  <c r="F10" i="16" s="1"/>
  <c r="R9" i="16"/>
  <c r="F9" i="16"/>
  <c r="R8" i="16"/>
  <c r="F8" i="16" s="1"/>
  <c r="R7" i="16"/>
  <c r="F7" i="16"/>
  <c r="R6" i="16"/>
  <c r="F6" i="16" s="1"/>
  <c r="R5" i="16"/>
  <c r="F5" i="16"/>
  <c r="R4" i="16"/>
  <c r="F4" i="16" s="1"/>
  <c r="R3" i="16"/>
  <c r="F3" i="16"/>
  <c r="R2" i="16"/>
  <c r="F2" i="16" s="1"/>
  <c r="C4" i="27" l="1"/>
  <c r="F4" i="27" s="1"/>
  <c r="C5" i="27"/>
  <c r="F5" i="27" s="1"/>
  <c r="G12" i="26"/>
  <c r="G16" i="26"/>
  <c r="I27" i="26"/>
  <c r="B17" i="26"/>
  <c r="I34" i="26"/>
  <c r="I29" i="26" l="1"/>
  <c r="I37" i="26"/>
  <c r="I32" i="26"/>
  <c r="I40" i="26"/>
  <c r="G21" i="26"/>
</calcChain>
</file>

<file path=xl/sharedStrings.xml><?xml version="1.0" encoding="utf-8"?>
<sst xmlns="http://schemas.openxmlformats.org/spreadsheetml/2006/main" count="547" uniqueCount="388">
  <si>
    <t xml:space="preserve">Document Name: </t>
  </si>
  <si>
    <t>Minimum Baseline Security Standard (MBSS) for Application Coding</t>
  </si>
  <si>
    <t xml:space="preserve">Designer: </t>
  </si>
  <si>
    <t>EY</t>
  </si>
  <si>
    <t xml:space="preserve">Reviewer: </t>
  </si>
  <si>
    <t>MBSS 2.0 Task Force</t>
  </si>
  <si>
    <t>Document Owner:</t>
  </si>
  <si>
    <t xml:space="preserve"> Axiata Group CISO Office</t>
  </si>
  <si>
    <t>Approver :</t>
  </si>
  <si>
    <t>Document Name</t>
  </si>
  <si>
    <t>Version</t>
  </si>
  <si>
    <t>Version 2 (October 2019)</t>
  </si>
  <si>
    <t>Version Control</t>
  </si>
  <si>
    <t>Date of Release</t>
  </si>
  <si>
    <t>Updated By</t>
  </si>
  <si>
    <t xml:space="preserve">Version Update Description </t>
  </si>
  <si>
    <t>Nov 2017</t>
  </si>
  <si>
    <t>Raaj Kamal Kapoor</t>
  </si>
  <si>
    <t>Initial version</t>
  </si>
  <si>
    <t>Oct 2019</t>
  </si>
  <si>
    <t>MBSS Task Force</t>
  </si>
  <si>
    <t>Final Version</t>
  </si>
  <si>
    <t>Document Overview</t>
  </si>
  <si>
    <t xml:space="preserve">Overview </t>
  </si>
  <si>
    <t>This document describes the Minimum Baseline Security Standards (MBSS) which should be adhered to while performing development for applications. The document details out the relevant information security controls for application development and serves as a template for assessment of compliance against the defined controls.
Controls in this document have been designed in reference with OWASP, NIST and SANS 25. along with leading security industry practices.
The recommended controls have been suggested from the perspective of addressing potential information security risks that the device may be exposed to. It is strongly recommended that a thorough assessment and testing of the impact be conducted, as per the organization's change management processes, prior to implementation of these controls.</t>
  </si>
  <si>
    <t>Instructions for Using This Document</t>
  </si>
  <si>
    <r>
      <t xml:space="preserve">General Instructions
A) 'Cover Page' - provides title, version and approver details of the document
B) 'Version Control' - captures the document version record and updates details. All changes made to the document should be captured in the sheet as per the sections provided.
</t>
    </r>
    <r>
      <rPr>
        <sz val="10"/>
        <rFont val="Arial"/>
        <family val="2"/>
      </rPr>
      <t xml:space="preserve">C) 'Document Overview' - provides an overview of the document along with the definitions of domains, planes and layers. It also comprises of a brief description of the elements </t>
    </r>
    <r>
      <rPr>
        <sz val="10"/>
        <color theme="1"/>
        <rFont val="Arial"/>
        <family val="2"/>
      </rPr>
      <t>for which this document is created and formulas used in document for arriving at the overall compliance score is described here. This section may be updated from time to time as per the changes in technology or the assessment methodology, etc.
D) 'MBSS Controls Checklist' - comprises of essential controls</t>
    </r>
    <r>
      <rPr>
        <sz val="10"/>
        <color theme="7"/>
        <rFont val="Arial"/>
        <family val="2"/>
      </rPr>
      <t>.</t>
    </r>
    <r>
      <rPr>
        <sz val="10"/>
        <color theme="1"/>
        <rFont val="Arial"/>
        <family val="2"/>
      </rPr>
      <t xml:space="preserve">
E) 'Dashboard' - Provides an overall view on the scope of assets coverage, controls implementation status and compliance status. It also acts as an input and reporting panel for both Implementer and CISO officer and provide graphical analysis of compliance and non compliance status as per reported by Implementer and CISO team.The dashboard reflects the overall compliance score which is calculated using the formula mentioned in this sheet under "Calculation of overall compliance score".
F) Columns in </t>
    </r>
    <r>
      <rPr>
        <sz val="10"/>
        <color theme="2" tint="-0.499984740745262"/>
        <rFont val="Arial"/>
        <family val="2"/>
      </rPr>
      <t>Brown</t>
    </r>
    <r>
      <rPr>
        <sz val="10"/>
        <color theme="1"/>
        <rFont val="Arial"/>
        <family val="2"/>
      </rPr>
      <t xml:space="preserve"> are required to be </t>
    </r>
    <r>
      <rPr>
        <sz val="10"/>
        <color theme="2" tint="-0.499984740745262"/>
        <rFont val="Arial"/>
        <family val="2"/>
      </rPr>
      <t>filled in by the</t>
    </r>
    <r>
      <rPr>
        <sz val="10"/>
        <color theme="1"/>
        <rFont val="Arial"/>
        <family val="2"/>
      </rPr>
      <t xml:space="preserve"> </t>
    </r>
    <r>
      <rPr>
        <sz val="10"/>
        <color theme="2" tint="-0.499984740745262"/>
        <rFont val="Arial"/>
        <family val="2"/>
      </rPr>
      <t>Implementer</t>
    </r>
    <r>
      <rPr>
        <sz val="10"/>
        <color theme="1"/>
        <rFont val="Arial"/>
        <family val="2"/>
      </rPr>
      <t xml:space="preserve"> while columns in </t>
    </r>
    <r>
      <rPr>
        <sz val="10"/>
        <color theme="8" tint="0.39997558519241921"/>
        <rFont val="Arial"/>
        <family val="2"/>
      </rPr>
      <t>Blue</t>
    </r>
    <r>
      <rPr>
        <sz val="10"/>
        <color theme="1"/>
        <rFont val="Arial"/>
        <family val="2"/>
      </rPr>
      <t xml:space="preserve"> are required to be </t>
    </r>
    <r>
      <rPr>
        <sz val="10"/>
        <color theme="8" tint="0.39997558519241921"/>
        <rFont val="Arial"/>
        <family val="2"/>
      </rPr>
      <t>filled in by the CISO</t>
    </r>
    <r>
      <rPr>
        <sz val="10"/>
        <color theme="1"/>
        <rFont val="Arial"/>
        <family val="2"/>
      </rPr>
      <t xml:space="preserve">.
</t>
    </r>
  </si>
  <si>
    <t xml:space="preserve">  No.   </t>
  </si>
  <si>
    <t>Security Domains</t>
  </si>
  <si>
    <t>Description</t>
  </si>
  <si>
    <t>Control Reference</t>
  </si>
  <si>
    <t>Data Validation</t>
  </si>
  <si>
    <t xml:space="preserve">The controls in this domain ensures validation are enforced for (1) all parameters before they are being used, (2) user input validation in client and server sides, (3) validation against all incoming data/files before uploading to the system and (4) validation against all output data before, during and after processing phase. </t>
  </si>
  <si>
    <t>ASVS V2, NIST 800-64 3.1, CWE-306, CWE-807, NIST 800-64 3.2, ASVS V4, ASVS V8, ASVS V9, ASVS V10, ASVS V16</t>
  </si>
  <si>
    <t>Authentication</t>
  </si>
  <si>
    <t>The authentication security domain includes controls to confirm the identities of communicating entities. Authentication ensures the validity of the claimed identities of the entities participating in communication (e.g., person, device, service or application) and provides assurance that an entity is not attempting a masquerade or unauthorized replay of a previous communication.</t>
  </si>
  <si>
    <t>ASVS V2, NIST 800-64 3.1, CWE-306, CWE-307, CWE-863, CWE-732, CWE-307, NIST 800-64 3.2, ASVS V2, ASVS V4, ASVS V8, ASVS V9, ASVS V10</t>
  </si>
  <si>
    <t>Auditing and Logging</t>
  </si>
  <si>
    <t xml:space="preserve">The auditing and logging security domain entails controls for preventing an individual or entity from denying having performed a particular action related to data by making available proof of various actions (such as proof of obligation, intent, or commitment; proof of data origin, proof of ownership, proof of resource use). </t>
  </si>
  <si>
    <t>NIST 800-64 3.4, NIST 800-64 3.5, ASVS V4, ASVS V8, ASVS V9</t>
  </si>
  <si>
    <t>Cryptography</t>
  </si>
  <si>
    <t xml:space="preserve">Cryptography protects data from unauthorized disclosure. Controls in this domain ensure that the data stored within a system cannot be accessed by unauthorized entities. </t>
  </si>
  <si>
    <t>CWE-311, CWE-327, CWE-759, NIST 800-64 3.2, ASVS V7, ASVS V9, ASVS V10</t>
  </si>
  <si>
    <t>Communication Security</t>
  </si>
  <si>
    <t>Communication security domain includes controls that protect information during communication between sender and receiver on transfer, session and application layers. Further, this domain includes controls to secure network interfaces that are used for data communication to avoid usage of vulnerable protocols, unencrypted sensitive application cookies, storage of sensitive data, etc.</t>
  </si>
  <si>
    <t>CWE-311, CWE-759, NIST 800-64 3.2, ASVS V3, ASVS V7, ASVS V9, ASVS V10</t>
  </si>
  <si>
    <t>Session Management</t>
  </si>
  <si>
    <t>Controls in session management domain restricts the transportation of sensitive session details through the network, as well as limiting the number of active sessions for better integrity, confidentiality and accountability.</t>
  </si>
  <si>
    <t>NIST 800-64 3.2, ASVS V3, ASVS V4, ASVS V7, ASVS V8, ASVS V9</t>
  </si>
  <si>
    <t>Provisioning and Reporting</t>
  </si>
  <si>
    <t>Provisioning and Reporting domain mainly focus on the flows for application level (i.e., approval, creation, etc.) and tracking for different states of user IDs (i.e., active, disabled, locked and deleted) as well as to ensure all the reports with necessary needed details are being captured, stored and flagged accordingly.</t>
  </si>
  <si>
    <t>NIST 800-64 3.4, ASVS V4, ASVS V8, ASVS V9</t>
  </si>
  <si>
    <t>Exception Management</t>
  </si>
  <si>
    <t>This control ensures unnecessary/ sensitive information are not broadcasting as part of error/warning handling. The details must be captured, stored and analyzed in secure environment.</t>
  </si>
  <si>
    <t>NIST 800-64 3.2, ASVS V4, ASVS V5, ASVS V9</t>
  </si>
  <si>
    <t>Authorization</t>
  </si>
  <si>
    <t xml:space="preserve">Controls in Authorization security domain is to ensure eligible user with need-to-know and role based restriction are accessing to the system and information and to deny from any system manipulation </t>
  </si>
  <si>
    <t>CWE-250, CWE-863, CWE-732, NIST 800-64 3.2, ASVS V4, ASVS V5, ASVS V4, ASVS V9, ASVS V10</t>
  </si>
  <si>
    <t>Code Management</t>
  </si>
  <si>
    <t xml:space="preserve">This control enforces the best practice for storing the sensitive and confidential data in application code and avoid from hard coding the confidential data in unsecure location, as well as the control for reviewing and protecting the source code   </t>
  </si>
  <si>
    <t>CWE-798, CWE-311, NIST 800-64 3.2, ASVS V9</t>
  </si>
  <si>
    <t xml:space="preserve">Node Hardening </t>
  </si>
  <si>
    <t xml:space="preserve">Node hardening control mainly focuses on all the secure configurations of the infrastructure equipment and software (such as Server, Database, Application Server, Network services, application architecture, etc.) </t>
  </si>
  <si>
    <t>NIST 800-64 3.2, ASVS V4</t>
  </si>
  <si>
    <t>Business Logic</t>
  </si>
  <si>
    <t>The controls in this domain protect against unauthorized use of logical resources. Access and authorization controls ensure that only authorized personnel or devices are allowed access to network elements, stored information, information flows, services and applications (precisely, password management).</t>
  </si>
  <si>
    <t>CWE-250, CWE-863, CWE-732, NIST 800-64 3.2, NIST 800-64 3.1, ASVS V4, ASVS V9, ASVS V15</t>
  </si>
  <si>
    <t>Output Encoding/ Escaping</t>
  </si>
  <si>
    <t>This control ensures web services are being developed by common frameworks are secured against typical XML attacks and parameter manipulation attacks</t>
  </si>
  <si>
    <t>CWE-807, NIST 800-64 3.2, ASVS V5, ASVS V6, ASVS V18</t>
  </si>
  <si>
    <t>No.</t>
  </si>
  <si>
    <t>Rating</t>
  </si>
  <si>
    <t>Rating Description</t>
  </si>
  <si>
    <t>Mandatory</t>
  </si>
  <si>
    <t>These are critical observations which may have significant impact on customer services and/or Network Operations. These need to be addressed immediately.</t>
  </si>
  <si>
    <t>Secondary</t>
  </si>
  <si>
    <t>These observations which may have low impact on business and/or Network Operations. These need to be addressed in due course.</t>
  </si>
  <si>
    <t>Calculation of Overall Compliance Score</t>
  </si>
  <si>
    <r>
      <rPr>
        <b/>
        <sz val="10"/>
        <color theme="1"/>
        <rFont val="Arial"/>
        <family val="2"/>
      </rPr>
      <t xml:space="preserve">Overall compliance score (%) </t>
    </r>
    <r>
      <rPr>
        <sz val="10"/>
        <color theme="1"/>
        <rFont val="Arial"/>
        <family val="2"/>
      </rPr>
      <t>= (Number of Mandatory controls being implemented and comply + Sum of approved control exemption) / Sum of Mandatory controls defined in MBSS * 100%</t>
    </r>
    <r>
      <rPr>
        <b/>
        <sz val="10"/>
        <color theme="1"/>
        <rFont val="Arial"/>
        <family val="2"/>
      </rPr>
      <t/>
    </r>
  </si>
  <si>
    <t>Compliance Status</t>
  </si>
  <si>
    <t>Compliant</t>
  </si>
  <si>
    <t>The control shall be marked as compliant if it is qualifying the said objective and requirements</t>
  </si>
  <si>
    <t>Non Compliant</t>
  </si>
  <si>
    <t>The control shall be marked as non compliant if it does not qualify the said objective and requirements</t>
  </si>
  <si>
    <t>Control Exempted</t>
  </si>
  <si>
    <t>The control shall be marked as control exempted if the current deployment/ change/ feature does not support or relate to the said objective and requirements. For any control that is being marked as control exempted, a valid justification/ mitigation measure has to be provided via the control exemption process.</t>
  </si>
  <si>
    <t>Control ID</t>
  </si>
  <si>
    <t>Domain</t>
  </si>
  <si>
    <t>Control</t>
  </si>
  <si>
    <t>Control Description</t>
  </si>
  <si>
    <t>Recommended Configuration</t>
  </si>
  <si>
    <t>Observations
(To be filled by Implementer)</t>
  </si>
  <si>
    <t xml:space="preserve"> Implementer Declaration</t>
  </si>
  <si>
    <t>Evidence Reference</t>
  </si>
  <si>
    <t xml:space="preserve"> Implementer's Response</t>
  </si>
  <si>
    <t>CISO Compliance Status</t>
  </si>
  <si>
    <t>Compliance Officer Response</t>
  </si>
  <si>
    <t>Confidentiality</t>
  </si>
  <si>
    <t>Integrity</t>
  </si>
  <si>
    <t>Availibility</t>
  </si>
  <si>
    <t>Host</t>
  </si>
  <si>
    <t>Network</t>
  </si>
  <si>
    <t>Total Score</t>
  </si>
  <si>
    <t>MBSS2.0-ApplicationCoding-001</t>
  </si>
  <si>
    <t>Use of invalidated input in the output stream</t>
  </si>
  <si>
    <t xml:space="preserve">Ensure that all parameters (including input in SQL statements) are validated before they are used. A centralized component or library is most effective, as the code performing the checking must all be in one place. 
"Negative" approaches that involve filtering out certain bad input or approaches that rely on signatures are not likely to be effective and may be difficult to maintain. Parameters must be validated against a "positive" specification that defines:
- Data type (string, integer, real, etc.)
- Allowed character set
- Minimum and maximum length
- Whether null is allowed
- Whether the parameter is required or not
- Whether duplicates are allowed
- Numeric range
- Specific legal values (enumeration)
- Specific patterns (regular expressions)
Contextually output encode all data returned to the client that originated outside the application's trust boundary. HTML entity encoding is one example, but does not work in all cases
</t>
  </si>
  <si>
    <t>It is recommended to implement as described in the control description.</t>
  </si>
  <si>
    <t>MBSS2.0-ApplicationCoding-002</t>
  </si>
  <si>
    <t>Enable Server-side validation</t>
  </si>
  <si>
    <t>User input validation must be done at server side. Client-side validation can be bypassed by turning off JavaScript in the browser. Hence, applications must be configured to rely upon server-side validation.</t>
  </si>
  <si>
    <t>Ensure proper validation is in place.</t>
  </si>
  <si>
    <t>MBSS2.0-ApplicationCoding-003</t>
  </si>
  <si>
    <t>Scanning of files used for development, including the source code, before being uploaded/transferred</t>
  </si>
  <si>
    <t>File must be scanned for malware or malicious code before being transferred or uploaded.</t>
  </si>
  <si>
    <t>MBSS2.0-ApplicationCoding-004</t>
  </si>
  <si>
    <t>Application output validation</t>
  </si>
  <si>
    <t>Application output must be validated via use/test cases to ensure that the processing of stored information is correct and appropriate to be circumstances.</t>
  </si>
  <si>
    <t>MBSS2.0-ApplicationCoding-005</t>
  </si>
  <si>
    <t>Data validation checks</t>
  </si>
  <si>
    <t>Data validation checks must be incorporated into applications to detect any corruption of information, processing errors or deliberate acts.</t>
  </si>
  <si>
    <t>MBSS2.0-ApplicationCoding-006</t>
  </si>
  <si>
    <t>Use of strong passwords</t>
  </si>
  <si>
    <t xml:space="preserve">1. The password length should be set to 8 or more characters.
2. Check whether the password and login name are identical
3. Requires a minimum of 1 alphabet
4. Requires a minimum of 1 upper case letter
5. Requires a minimum of 1 lower case letter
6. Requires a minimum of 1 special character
</t>
  </si>
  <si>
    <t>Following password policy should be configured:
1. If two factor authetication is not used then Minimum password length should be 8 or greater 
2. Ensure login name and password are not identical
3. Passwords should comprise of digits, letters, special characters, one capital.</t>
  </si>
  <si>
    <t>MBSS2.0-ApplicationCoding-007</t>
  </si>
  <si>
    <t xml:space="preserve">Encryption username and password </t>
  </si>
  <si>
    <t>Usernames and passwords must be encrypted at storage as well as before passing them over the network for authentication purpose. Ensure that a secured encryption standard is used. 
Ensure that whenever authentication credentials or any other sensitive information is passed, only accept the information via the HTTP “POST” method and do not accept it via the HTTP “GET” method.</t>
  </si>
  <si>
    <t>MBSS2.0-ApplicationCoding-008</t>
  </si>
  <si>
    <t>Limit number of failed login attempts</t>
  </si>
  <si>
    <t>The password policy should define the account lockout threshold.</t>
  </si>
  <si>
    <t>The application must lock user accounts after 3 or less failed login attempts. Then requiring the administrator to unlock the account.</t>
  </si>
  <si>
    <t>MBSS2.0-ApplicationCoding-009</t>
  </si>
  <si>
    <t>Setting password age</t>
  </si>
  <si>
    <t xml:space="preserve">Passwords must be set to expire after for 60 days or less. </t>
  </si>
  <si>
    <t>Maximum password age should be configured as 60 days or less.</t>
  </si>
  <si>
    <t>MBSS2.0-ApplicationCoding-010</t>
  </si>
  <si>
    <t>The users must be forced to change their passwords at the time of their first login.</t>
  </si>
  <si>
    <t>Change password on first logon setting should be enabled.</t>
  </si>
  <si>
    <t>MBSS2.0-ApplicationCoding-011</t>
  </si>
  <si>
    <t>Set password history</t>
  </si>
  <si>
    <t>User must not be allowed to reuse the last 6 passwords</t>
  </si>
  <si>
    <t>Password history should be configured as 6 or more.</t>
  </si>
  <si>
    <t>MBSS2.0-ApplicationCoding-012</t>
  </si>
  <si>
    <t>Password masking</t>
  </si>
  <si>
    <t>Password must be masked from view as they are displayed on screen.</t>
  </si>
  <si>
    <t>MBSS2.0-ApplicationCoding-013</t>
  </si>
  <si>
    <t>Allow users to password change</t>
  </si>
  <si>
    <t>The application must provide a “Password Change” option to allow users to change their passwords on their own without requiring intervention by system administrators.</t>
  </si>
  <si>
    <t>MBSS2.0-ApplicationCoding-014</t>
  </si>
  <si>
    <t>Self-password change prerequisite</t>
  </si>
  <si>
    <t>Passwords must be changed only upon correct entry of the current password. The system must prompt for the current password and allow a change once the old password has been authenticated. The new password must be entered twice before a successful password change.</t>
  </si>
  <si>
    <t>MBSS2.0-ApplicationCoding-015</t>
  </si>
  <si>
    <t xml:space="preserve">In the event of login failure due to either incorrect user-id or password, a message that does not expose sensitive information must be displayed i.e. Login failed due to incorrect login credentials </t>
  </si>
  <si>
    <t>MBSS2.0-ApplicationCoding-016</t>
  </si>
  <si>
    <t>Ability for administrators to disable IDs</t>
  </si>
  <si>
    <t>The application must have a function to allow the the system administrators to disable/re-enable user-ids.</t>
  </si>
  <si>
    <t>MBSS2.0-ApplicationCoding-017</t>
  </si>
  <si>
    <t>User IDs created must always be unique</t>
  </si>
  <si>
    <t>There must be application-level controls to ensure that duplicate user-ids cannot be created.</t>
  </si>
  <si>
    <t>Unique user accounts/ IDs should be configured for all the users having access to the node. Further, default accounts and guest accounts should be removed.</t>
  </si>
  <si>
    <t>MBSS2.0-ApplicationCoding-018</t>
  </si>
  <si>
    <t>Logging of login details</t>
  </si>
  <si>
    <t>Upon successful login, the last login time and date of the user-id must be displayed. Historical login information must be stored in logs only accessible by the administrators.</t>
  </si>
  <si>
    <t>MBSS2.0-ApplicationCoding-019</t>
  </si>
  <si>
    <t>Successful login message</t>
  </si>
  <si>
    <t>Upon successful login into the application a message must be displayed with legal and company warnings on the use of the application.</t>
  </si>
  <si>
    <t>MBSS2.0-ApplicationCoding-020</t>
  </si>
  <si>
    <t>Business Time</t>
  </si>
  <si>
    <t>There must be a setting to configure the allowable access time of the user’s login on the application. This should be configured and implemented when needed.</t>
  </si>
  <si>
    <t>MBSS2.0-ApplicationCoding-021</t>
  </si>
  <si>
    <t>Access to the application on need-to-know basis and role based as per Security Matrix</t>
  </si>
  <si>
    <t>Role based authorization mechanism must be used for allocating privileges to the users. The application must have the provision to define different levels of users or roles. Users must not have privileges to the features which he does not require for his job responsibilities.</t>
  </si>
  <si>
    <t>Use the access control matrix to define the access control rules. The security matrix must document what types of users can access the system, and which functions and content each of these types of users are allowed to access. The access control mechanism must be extensively tested to be sure that there is no method to bypass the restrictions. This testing requires a variety of accounts and extensive attempts to access unauthorized content or functions. The roles must have segregation of duties such that an individual must not be responsible for more that one of the following duties: business, data entry, computer operation, network management, system administration, systems development, change management, security administration, and security audit. Ex: the user admin team roles must not have to process or view business data and vice versa. The security matrix must be automatically generated by the application and available for review when required.
Failure in implementation of this control may lead to compromise of sensitive data or make it possible for a malicious user to escalate privileges.
Which may have impact on customer services and/or Network Operations. This control should be addressed on a high priority.</t>
  </si>
  <si>
    <t>MBSS2.0-ApplicationCoding-022</t>
  </si>
  <si>
    <t>Limitation of application’s rights to the database</t>
  </si>
  <si>
    <t>Applications must not have unnecessary privilege access to the database unless there is a valid business justification.</t>
  </si>
  <si>
    <t>This control should be applied with the specific command based on the technology in use.</t>
  </si>
  <si>
    <t>MBSS2.0-ApplicationCoding-023</t>
  </si>
  <si>
    <t>Partitioning of the application environment</t>
  </si>
  <si>
    <t>The application must be partitioned into areas/modules such as publicly accessible functions, controlled functions and/or restricted functions based on the sensitivity of data or features in the application. Appropriate authentication mechanism must be implemented to ensure control over each function and the flow from one function to another.</t>
  </si>
  <si>
    <t>MBSS2.0-ApplicationCoding-024</t>
  </si>
  <si>
    <t>Secured connection from the application to the database</t>
  </si>
  <si>
    <t>The connection between the application and database must be secured via encryption. The encryption should be secured enough to withstand various vector of attacks.</t>
  </si>
  <si>
    <t>MBSS2.0-ApplicationCoding-025</t>
  </si>
  <si>
    <t>Maker/ Checker for user and data creation</t>
  </si>
  <si>
    <t>A maker-checker principle must be implemented at the application level for creation/approval of user-ids and sensitive data. A user who has created a user-id or record must not be allowed to approve the creation.</t>
  </si>
  <si>
    <t>MBSS2.0-ApplicationCoding-026</t>
  </si>
  <si>
    <t>The application must be able to provide the status of each account</t>
  </si>
  <si>
    <t>The following account status should be present in the application and assigned to the various accounts:
Active - Active users
Disabled - Disabled users who are temporarily barred from login
Locked - Users locked out due to unsuccessful login attempts
Deleted - Users who have been deleted from the system which cannot be activated or recreated again</t>
  </si>
  <si>
    <t>MBSS2.0-ApplicationCoding-027</t>
  </si>
  <si>
    <t>Security event reporting</t>
  </si>
  <si>
    <t>The application must have the ability to generate report of security events. The following reports should be available for generations:
- Unsuccessful login attempts
- Account privilege modification
- Dormant and deleted user-IDs with date of last sign-on
- Actions performed by the system administrator
- Actions performed by privilege users
- Data modification
- User ID created/modified/disabled
Note: All activities must be generated with timestamp information</t>
  </si>
  <si>
    <t>MBSS2.0-ApplicationCoding-028</t>
  </si>
  <si>
    <t>User ID Classification</t>
  </si>
  <si>
    <t>The application must have the ability to classify the user account type in the application in accordance to the privilege assigned.</t>
  </si>
  <si>
    <t>MBSS2.0-ApplicationCoding-029</t>
  </si>
  <si>
    <t>Disabling of dormant user IDs</t>
  </si>
  <si>
    <t>The application must have a function to automatically disable users after they have been inactive/dormant for 30 or more days.</t>
  </si>
  <si>
    <t>MBSS2.0-ApplicationCoding-030</t>
  </si>
  <si>
    <t>Disallow the use of vulnerable protocols</t>
  </si>
  <si>
    <t>Encryption and protocol standards used must be evaluate by IT security and adhere to the recommended standards of the organization.</t>
  </si>
  <si>
    <t>MBSS2.0-ApplicationCoding-031</t>
  </si>
  <si>
    <t>Ensure secure use of cookies</t>
  </si>
  <si>
    <t>Confidential information must not be stored in the cookies. If cookies used, then the data must be encrypted before being stored in cookies. Secure flag should be set on cookies to prevent accidental transmission over “the wire” in a non-secure manner.</t>
  </si>
  <si>
    <t>MBSS2.0-ApplicationCoding-032</t>
  </si>
  <si>
    <t>Masking of sensitive date input fields</t>
  </si>
  <si>
    <t>Form fields for sensitive data such as CVV numbers, the data must be masked as it is being fed into the system.</t>
  </si>
  <si>
    <t>MBSS2.0-ApplicationCoding-033</t>
  </si>
  <si>
    <t>Caching of secure data</t>
  </si>
  <si>
    <t>HTTP expires must be used for web-based applications to avoid the caching of web pages with sensitive data.</t>
  </si>
  <si>
    <t>MBSS2.0-ApplicationCoding-034</t>
  </si>
  <si>
    <t>Security of session identifiers</t>
  </si>
  <si>
    <t>The session identifiers/key must not be stored on client side or passed through the network in an unencrypted format.</t>
  </si>
  <si>
    <t>MBSS2.0-ApplicationCoding-035</t>
  </si>
  <si>
    <t>Limiting number of sessions</t>
  </si>
  <si>
    <t>Users must only be allowed to have single session connections to the application. The results of initiating another session should result in the older session being terminated and the user notified.</t>
  </si>
  <si>
    <t>MBSS2.0-ApplicationCoding-036</t>
  </si>
  <si>
    <t>Validation of session identifiers</t>
  </si>
  <si>
    <t>Session identifiers/keys must be validated at the time of every request by the server to verify that the requesting user is an authenticated user.</t>
  </si>
  <si>
    <t>MBSS2.0-ApplicationCoding-037</t>
  </si>
  <si>
    <t>Session time out</t>
  </si>
  <si>
    <t>Inactive session must be closed after 15 or less minutes of inactivity.</t>
  </si>
  <si>
    <t>MBSS2.0-ApplicationCoding-038</t>
  </si>
  <si>
    <t>Key Management</t>
  </si>
  <si>
    <t>The follow cryptographic requirements must be adhered too:
1.       Cryptographic keys must be a minimum 128 bits.
2.       The keys must be a combination of alphanumeric characters.
3.       A new key must be generated for every session.
4.       Appropriate random number generator must be used for the creation of the keys.
5. Keys must be distributed in a secure manner.
6.       Cryptographic keys must not be used for more than 2 years.</t>
  </si>
  <si>
    <t>MBSS2.0-ApplicationCoding-039</t>
  </si>
  <si>
    <t>Limit details of exception displayed</t>
  </si>
  <si>
    <t>Stack traces must not be displayed users as a part of error/warning message. A comprehensive list of error messages that will be displayed to users must be documented and reviewed to ensure sensitive information is not shared.</t>
  </si>
  <si>
    <t>MBSS2.0-ApplicationCoding-040</t>
  </si>
  <si>
    <t>Logging of exceptions</t>
  </si>
  <si>
    <t>Any exceptions generated by the application must be logged, reviewed and remediated once the exception is validated.</t>
  </si>
  <si>
    <t>MBSS2.0-ApplicationCoding-041</t>
  </si>
  <si>
    <t>Application security log reports</t>
  </si>
  <si>
    <t>Security logs must include the following information:
- Login success and failures
- Functions/modules accessed
- Data modifications (inclusive of creation and deletion)
-  Access controlled files, directories or other resources.
- Failure of any critical application service</t>
  </si>
  <si>
    <t>MBSS2.0-ApplicationCoding-042</t>
  </si>
  <si>
    <t>Administrator logging</t>
  </si>
  <si>
    <t>The audit logs of administrative and privilege accounts must be kept securely and not be editable or removable.</t>
  </si>
  <si>
    <t>MBSS2.0-ApplicationCoding-043</t>
  </si>
  <si>
    <t>Securing event logs</t>
  </si>
  <si>
    <t>All logs must be kept securely and must not be editable or deleted by any user, inclusive of the administrator. The logs should also be sent to a centralized logging server.</t>
  </si>
  <si>
    <t>MBSS2.0-ApplicationCoding-044</t>
  </si>
  <si>
    <t>Minimum application log information to be capture</t>
  </si>
  <si>
    <t xml:space="preserve">The application audit logs must include the following information, where applicable:
- Transaction ID
- User ID
- Content of fields before the event
- Action applied
- Value of new fields
- Date and time of action
- IP address
- MAC address
</t>
  </si>
  <si>
    <t>MBSS2.0-ApplicationCoding-045</t>
  </si>
  <si>
    <t>Audit log setting protection</t>
  </si>
  <si>
    <t>Access to the application module which controls the settings of logging must only be accessible by the administrator.</t>
  </si>
  <si>
    <t>MBSS2.0-ApplicationCoding-046</t>
  </si>
  <si>
    <t>Disallow the storing of confidential data in code</t>
  </si>
  <si>
    <t>Sensitive information like login credentials must not be hard coded in the application.</t>
  </si>
  <si>
    <t>MBSS2.0-ApplicationCoding-047</t>
  </si>
  <si>
    <t>Source code protection</t>
  </si>
  <si>
    <t>The source code must not be placed in public folders where it is available to everyone. Access to the source code must be provided only to the authorized users.</t>
  </si>
  <si>
    <t>MBSS2.0-ApplicationCoding-048</t>
  </si>
  <si>
    <t>Source Code Changes and Reviews</t>
  </si>
  <si>
    <t>Code changes are reviewed by individuals other than the originating code author, and by individuals who are knowledgeable in code review techniques and secure coding practices. Appropriate corrections must be implemented prior to release. Code review results are reviewed and approved by management prior to release</t>
  </si>
  <si>
    <t>MBSS2.0-ApplicationCoding-049</t>
  </si>
  <si>
    <t>Hardening of Web Server, Application Server and DB Server</t>
  </si>
  <si>
    <t>The operating systems and infrastructure of on which the web server, application and database is loaded must be configured securely.</t>
  </si>
  <si>
    <t>MBSS2.0-ApplicationCoding-050</t>
  </si>
  <si>
    <t>Disabling of unused services</t>
  </si>
  <si>
    <t>The services such as infrared, Bluetooth and wireless devices must not be enabled on the server unless required.</t>
  </si>
  <si>
    <t>MBSS2.0-ApplicationCoding-051</t>
  </si>
  <si>
    <t>Disabling of unused network services</t>
  </si>
  <si>
    <t>Services like FTP, Telnet, IMAP, POP3 etc. must not be enabled on the server unless required for business purpose.</t>
  </si>
  <si>
    <t>MBSS2.0-ApplicationCoding-052</t>
  </si>
  <si>
    <t>Application Architecture</t>
  </si>
  <si>
    <t>Client/server applications design must have 2-tier architecture. Architecture must have application and database on separate hardware. Web servers should be placed in the DMZ with web traffic passing through a firewall before entering the web server. The application and database servers should be placed behind the web server with a firewall in the middle. Access to the database server shall be restricted only to application server through a firewall on ports specified by the application owner.</t>
  </si>
  <si>
    <t>MBSS2.0-ApplicationCoding-053</t>
  </si>
  <si>
    <t>Application password protection</t>
  </si>
  <si>
    <t>Access to the application must require users to enter a username and password.</t>
  </si>
  <si>
    <t>MBSS2.0-ApplicationCoding-054</t>
  </si>
  <si>
    <t>Password retrieval</t>
  </si>
  <si>
    <t>Password retrieval functionalities should require the user to create a secret question with answer or a similar requirement.</t>
  </si>
  <si>
    <t>MBSS2.0-ApplicationCoding-055</t>
  </si>
  <si>
    <t>Password retrieval functionalities should not send user names and passwords back to users via emails, but instead with a temporary link with certain lifetime that prompts for password change.</t>
  </si>
  <si>
    <t>MBSS2.0-ApplicationCoding-056</t>
  </si>
  <si>
    <t>Application privilege access</t>
  </si>
  <si>
    <t xml:space="preserve">Names of critical application directories like administration panels should not be easily guessable (e.g. admin, administration). </t>
  </si>
  <si>
    <t>MBSS2.0-ApplicationCoding-057</t>
  </si>
  <si>
    <t>Sample codes</t>
  </si>
  <si>
    <t>When applications are transferred from a development/testing environment into a production environment, unnecessary resources (e.g. test codes, demo applications, backup files) should be excluded.  Source files should be excluded as well if they are not required. Unnecessary comments should be removed from source files. Integrity of transferred files should be checked and guaranteed.</t>
  </si>
  <si>
    <t>MBSS2.0-ApplicationCoding-058</t>
  </si>
  <si>
    <t>Internet Indexing</t>
  </si>
  <si>
    <t xml:space="preserve">It should be checked if sensitive files and resources belonging to application domain are not indexed via Google/Bing search engines and not accessible to third parties. </t>
  </si>
  <si>
    <t>MBSS2.0-ApplicationCoding-059</t>
  </si>
  <si>
    <t>Web Services</t>
  </si>
  <si>
    <t xml:space="preserve">Authentication controls, such SOAP, Restful, XML-RPC or similar technologies, should be in place when accessing web services implemented with </t>
  </si>
  <si>
    <t>MBSS2.0-ApplicationCoding-060</t>
  </si>
  <si>
    <t>Output Encoding/Escaping</t>
  </si>
  <si>
    <t>Web services implemented by using common frameworks should be secured against typical XML attacks (e.g. external entity, a billion laughs, XML bomb, etc.) and parameter manipulation attacks.</t>
  </si>
  <si>
    <t>Asset Under Scope of Review</t>
  </si>
  <si>
    <t>Colour Code</t>
  </si>
  <si>
    <t>Hostname</t>
  </si>
  <si>
    <t>Operating System Version</t>
  </si>
  <si>
    <t>IP Address (in case of static IP)</t>
  </si>
  <si>
    <t>Required to be filled by Implementer</t>
  </si>
  <si>
    <t>Required to be filled by CISO Officer</t>
  </si>
  <si>
    <t>&lt;Insert additional row  below if there are more assset to be registered&gt;</t>
  </si>
  <si>
    <t>Evaluation Summary (Implementer)</t>
  </si>
  <si>
    <t>Evaluation Summary (CISO)</t>
  </si>
  <si>
    <t>Type of Information</t>
  </si>
  <si>
    <t>Details</t>
  </si>
  <si>
    <t>Implementer Organization Name</t>
  </si>
  <si>
    <t>&lt;To be filled by Implementer&gt;</t>
  </si>
  <si>
    <t>Control Exemption Registration Number</t>
  </si>
  <si>
    <t>Implementer Name and Email ID</t>
  </si>
  <si>
    <t>&lt;Name&gt;</t>
  </si>
  <si>
    <t>&lt;Email ID&gt;</t>
  </si>
  <si>
    <t>&lt;Signature / Digital Signature&gt;</t>
  </si>
  <si>
    <t>Number of Mandatory Control Registered under Control Exemption</t>
  </si>
  <si>
    <t>Date of Self assessment</t>
  </si>
  <si>
    <t>&lt;dd/mm/yyyy&gt;</t>
  </si>
  <si>
    <t>Number of registered controls exemption matched with controls exemption reported by Implementer</t>
  </si>
  <si>
    <t>Number of Mandatory Control Under Approved Exemption</t>
  </si>
  <si>
    <t>Risk Acceptance Registration Number</t>
  </si>
  <si>
    <t>Number of Mandatory Control Registered under Risk Acceptance</t>
  </si>
  <si>
    <t>&lt;To be filled by CISO Officer&gt;</t>
  </si>
  <si>
    <t>Number of Mandatory Control Under Risk Acceptance</t>
  </si>
  <si>
    <t>Number of registered risk acceptance matched with non compliant reported by Implementer</t>
  </si>
  <si>
    <t>Compliance score (as per CISO evaluation)</t>
  </si>
  <si>
    <t>Compliance score (as per Implementer evaluation)</t>
  </si>
  <si>
    <t>Approval (Implementer)</t>
  </si>
  <si>
    <t>Review and Approval (CISO)</t>
  </si>
  <si>
    <t>Implementer's Approver Name and Email ID</t>
  </si>
  <si>
    <t>&lt;Signature / Approval Email&gt;</t>
  </si>
  <si>
    <t>Final verified compliance score</t>
  </si>
  <si>
    <t>Approval Date</t>
  </si>
  <si>
    <t>Compliance Officer's Approval</t>
  </si>
  <si>
    <t>Approval date</t>
  </si>
  <si>
    <t>Graphical Analysis</t>
  </si>
  <si>
    <t>Key Indicators</t>
  </si>
  <si>
    <t>General</t>
  </si>
  <si>
    <t>Total Mandatory MBSS Control</t>
  </si>
  <si>
    <t>Implementer</t>
  </si>
  <si>
    <t>Mandatory controls being complied</t>
  </si>
  <si>
    <t>Mandatory controls under exemption</t>
  </si>
  <si>
    <t>Mandatory controls being non compliance</t>
  </si>
  <si>
    <t>Mandatory controls total sum check</t>
  </si>
  <si>
    <t>CISO</t>
  </si>
  <si>
    <t>Mandatory controls under registered controls exemption</t>
  </si>
  <si>
    <t>Mandatory controls under registered risk acceptance</t>
  </si>
  <si>
    <t>Check on registered controls exemption with controls exemption reported by Implementer</t>
  </si>
  <si>
    <t>Check on registered risk acceptance with non compliance reported by Implementer</t>
  </si>
  <si>
    <t>Pivot Table Data Source</t>
  </si>
  <si>
    <t>View</t>
  </si>
  <si>
    <t>Category</t>
  </si>
  <si>
    <t>Control Exemption</t>
  </si>
  <si>
    <t>Total</t>
  </si>
  <si>
    <t>Pre-implementation identified deficiencies in input validation and HTML sanitization (XSS risk).
Post-implementation, all input was centrally validated and HTML sanitized.
All security vulnerabilities were successfully fixed.</t>
  </si>
  <si>
    <t>Validator modules, service sanitization, route middleware,
as well as the SECURITY_INPUT_VALIDATION.md and SECURITY_AUDIT_REPORT.md documents.</t>
  </si>
  <si>
    <t>FULL COMPLIANCE ACHIEVED.
All controls have been implemented and verified.
Residual risk is low and acceptable with mitigating controls.</t>
  </si>
  <si>
    <t>The application had partial server-side validation with inconsistent implementation. Several routes lacked validators, some controllers performed manual validation after business logic began, and there was mixed use of Zod and express-validator. All inputs have been secured with middleware-based validation executing before controllers.</t>
  </si>
  <si>
    <t>Development files are scanned for malware prior to transfer or deployment.
Scanning is integrated into the development workflow.</t>
  </si>
  <si>
    <t>Automated CI/CD security scanning and antivirus checks during upload/deployment.</t>
  </si>
  <si>
    <t>This control has been implemented and verified.
All files are scanned before being transferred or deployed.</t>
  </si>
  <si>
    <t>Control fully implemented and verified.
Invalid requests are rejected at the server level.</t>
  </si>
  <si>
    <t>Centralized validators, request validation, and server-side middleware.</t>
  </si>
  <si>
    <t>Application outputs are validated against business rules
and verified through test cases.</t>
  </si>
  <si>
    <t>Unit tests, integration tests, and business rule validation on application outputs.</t>
  </si>
  <si>
    <t>Output validation has been implemented and verified
to ensure correctness and appropriate usage.</t>
  </si>
  <si>
    <t>Server-side validation logic, integrity checks, and error handling mechanisms.</t>
  </si>
  <si>
    <t>Validation controls have been implemented and verified
to ensure data integrity throughout processing.</t>
  </si>
  <si>
    <t>Strong password policy is enforced with minimum length,
complexity requirements, and login name comparison.</t>
  </si>
  <si>
    <t>Server-side password validation rules and authentication controls.</t>
  </si>
  <si>
    <t>Strong password controls have been implemented
and validated according to policy requirements.</t>
  </si>
  <si>
    <t>Authentication credentials are protected in transit and at rest
using secure encryption and hashing standards.</t>
  </si>
  <si>
    <t>HTTPS/TLS enforcement, secure password hashing,
and POST-only authentication handling.</t>
  </si>
  <si>
    <t>Credential protection controls have been implemented
and verified for secure authentication.</t>
  </si>
  <si>
    <t>Login failure message</t>
  </si>
  <si>
    <t>Require password change upon first time login</t>
  </si>
  <si>
    <t>Account lockout after 3 failed attempts with admin-only unlock via POST /api/cms/users/:id/unlock.</t>
  </si>
  <si>
    <t>auth.controller.ts, user.service.ts unlockUserAccount(), schema fields failedLoginAttempts, lockedAt, lockedReason</t>
  </si>
  <si>
    <t xml:space="preserve">Was non-compliant (IP-based rate limit only). Now enforces per-user lockout after 3 failures with admin unlock requirement.
</t>
  </si>
  <si>
    <t>60-day expiry check on login; timer resets on every password change.</t>
  </si>
  <si>
    <t>auth.controller.ts, profile.controller.ts passwordChangedAt: new Date()</t>
  </si>
  <si>
    <t>Was non-compliant (no age tracking). Now enforces 60-day max password age with forced change signal to frontend.</t>
  </si>
  <si>
    <t>mustChangePassword defaults to true; checked on login; cleared only after password change; admin can re-enable.</t>
  </si>
  <si>
    <t>Schema mustChangePassword @default(true), auth.controller.ts, POST /:id/force-password-change</t>
  </si>
  <si>
    <t xml:space="preserve">Was non-compliant. Now all new users must change password on first login.
</t>
  </si>
  <si>
    <t>PasswordHistory model stores last 6 hashes. Checked on both self-service change and password reset flows.</t>
  </si>
  <si>
    <t>profile.controller.ts PASSWORD_HISTORY_COUNT = 6, auth.controller.ts resetPassword(), password_histories table</t>
  </si>
  <si>
    <t xml:space="preserve">Was non-compliant. Now prevents reuse of last 6 passwords across all password change flows.
</t>
  </si>
  <si>
    <t>All password fields use type="password". Toggle-visibility requires explicit user action. Server never returns password hashes.</t>
  </si>
  <si>
    <t>login/page.tsx/login/page.tsx</t>
  </si>
  <si>
    <t xml:space="preserve">Already compliant. No changes needed.
</t>
  </si>
  <si>
    <t>PUT /api/profile/password with current password verification, complexity validation, history check, and session revocation.</t>
  </si>
  <si>
    <t>profile.controller.ts, profile.routes.ts, profile.service.ts</t>
  </si>
  <si>
    <t xml:space="preserve">Already compliant. Enhanced with password history integration from MBSS2.0-011.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</si>
</sst>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Calibri"/>
      <family val="2"/>
      <scheme val="minor"/>
    </font>
    <font>
      <sz val="10"/>
      <name val="Arial"/>
      <family val="2"/>
    </font>
    <font>
      <sz val="8"/>
      <color theme="1"/>
      <name val="Arial"/>
      <family val="2"/>
    </font>
    <font>
      <b/>
      <sz val="12"/>
      <color theme="1"/>
      <name val="Arial"/>
      <family val="2"/>
    </font>
    <font>
      <b/>
      <sz val="10"/>
      <color theme="1"/>
      <name val="Arial"/>
      <family val="2"/>
    </font>
    <font>
      <sz val="10"/>
      <color theme="1"/>
      <name val="Arial"/>
      <family val="2"/>
    </font>
    <font>
      <b/>
      <sz val="10"/>
      <color theme="0"/>
      <name val="Arial"/>
      <family val="2"/>
    </font>
    <font>
      <sz val="11"/>
      <color theme="1"/>
      <name val="Arial"/>
      <family val="2"/>
    </font>
    <font>
      <b/>
      <sz val="14"/>
      <color theme="4"/>
      <name val="Arial"/>
      <family val="2"/>
    </font>
    <font>
      <b/>
      <sz val="10"/>
      <color theme="4"/>
      <name val="Arial"/>
      <family val="2"/>
    </font>
    <font>
      <b/>
      <sz val="12"/>
      <color theme="0"/>
      <name val="Arial"/>
      <family val="2"/>
    </font>
    <font>
      <sz val="12"/>
      <color theme="0"/>
      <name val="Arial"/>
      <family val="2"/>
    </font>
    <font>
      <sz val="9"/>
      <color theme="1"/>
      <name val="Arial"/>
      <family val="2"/>
    </font>
    <font>
      <sz val="9"/>
      <color rgb="FF000000"/>
      <name val="Arial"/>
      <family val="2"/>
    </font>
    <font>
      <b/>
      <sz val="9"/>
      <color theme="0"/>
      <name val="Arial"/>
      <family val="2"/>
    </font>
    <font>
      <b/>
      <sz val="9"/>
      <color indexed="8"/>
      <name val="Arial"/>
      <family val="2"/>
    </font>
    <font>
      <b/>
      <sz val="10"/>
      <name val="Arial"/>
      <family val="2"/>
    </font>
    <font>
      <sz val="11"/>
      <color theme="1"/>
      <name val="Calibri"/>
      <family val="2"/>
      <scheme val="minor"/>
    </font>
    <font>
      <b/>
      <sz val="9"/>
      <color theme="1"/>
      <name val="Arial"/>
      <family val="2"/>
    </font>
    <font>
      <sz val="10"/>
      <color theme="7"/>
      <name val="Arial"/>
      <family val="2"/>
    </font>
    <font>
      <sz val="9"/>
      <name val="Arial"/>
      <family val="2"/>
    </font>
    <font>
      <sz val="10"/>
      <color theme="1"/>
      <name val="Calibri"/>
      <family val="2"/>
      <scheme val="minor"/>
    </font>
    <font>
      <sz val="9"/>
      <color theme="1"/>
      <name val="Calibri"/>
      <family val="2"/>
      <scheme val="minor"/>
    </font>
    <font>
      <b/>
      <sz val="9"/>
      <name val="Arial"/>
      <family val="2"/>
    </font>
    <font>
      <sz val="10"/>
      <name val="Calibri"/>
      <family val="2"/>
      <scheme val="minor"/>
    </font>
    <font>
      <b/>
      <sz val="11"/>
      <color theme="1"/>
      <name val="Calibri"/>
      <family val="2"/>
      <scheme val="minor"/>
    </font>
    <font>
      <b/>
      <sz val="18"/>
      <color theme="0"/>
      <name val="Arial"/>
      <family val="2"/>
    </font>
    <font>
      <b/>
      <sz val="12"/>
      <name val="Arial"/>
      <family val="2"/>
    </font>
    <font>
      <sz val="10"/>
      <color theme="2" tint="-0.499984740745262"/>
      <name val="Arial"/>
      <family val="2"/>
    </font>
    <font>
      <sz val="10"/>
      <color theme="8" tint="0.39997558519241921"/>
      <name val="Arial"/>
      <family val="2"/>
    </font>
    <font>
      <sz val="8"/>
      <name val="Arial"/>
      <family val="2"/>
    </font>
    <font>
      <sz val="11"/>
      <name val="Arial"/>
      <family val="2"/>
    </font>
    <font>
      <b/>
      <i/>
      <sz val="12"/>
      <name val="Arial"/>
      <family val="2"/>
    </font>
  </fonts>
  <fills count="17">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theme="4"/>
        <bgColor indexed="64"/>
      </patternFill>
    </fill>
    <fill>
      <patternFill patternType="solid">
        <fgColor rgb="FF92D050"/>
        <bgColor indexed="31"/>
      </patternFill>
    </fill>
    <fill>
      <patternFill patternType="solid">
        <fgColor rgb="FF92D050"/>
        <bgColor indexed="64"/>
      </patternFill>
    </fill>
    <fill>
      <patternFill patternType="solid">
        <fgColor rgb="FF000080"/>
        <bgColor indexed="64"/>
      </patternFill>
    </fill>
    <fill>
      <patternFill patternType="solid">
        <fgColor rgb="FFFFFFFF"/>
        <bgColor indexed="64"/>
      </patternFill>
    </fill>
    <fill>
      <patternFill patternType="solid">
        <fgColor theme="0" tint="-4.9989318521683403E-2"/>
        <bgColor indexed="64"/>
      </patternFill>
    </fill>
    <fill>
      <patternFill patternType="solid">
        <fgColor rgb="FF0070C0"/>
        <bgColor indexed="31"/>
      </patternFill>
    </fill>
    <fill>
      <patternFill patternType="solid">
        <fgColor rgb="FFFFFFFF"/>
        <bgColor rgb="FF000000"/>
      </patternFill>
    </fill>
    <fill>
      <patternFill patternType="solid">
        <fgColor theme="4" tint="0.59999389629810485"/>
        <bgColor indexed="64"/>
      </patternFill>
    </fill>
    <fill>
      <patternFill patternType="solid">
        <fgColor theme="8" tint="0.39997558519241921"/>
        <bgColor indexed="64"/>
      </patternFill>
    </fill>
    <fill>
      <patternFill patternType="solid">
        <fgColor theme="2" tint="-0.249977111117893"/>
        <bgColor indexed="64"/>
      </patternFill>
    </fill>
    <fill>
      <patternFill patternType="solid">
        <fgColor theme="2" tint="-0.249977111117893"/>
        <bgColor indexed="31"/>
      </patternFill>
    </fill>
    <fill>
      <patternFill patternType="solid">
        <fgColor theme="8" tint="0.39997558519241921"/>
        <bgColor indexed="31"/>
      </patternFill>
    </fill>
  </fills>
  <borders count="26">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theme="0" tint="-0.499984740745262"/>
      </right>
      <top/>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diagonal/>
    </border>
    <border>
      <left style="medium">
        <color theme="0" tint="-0.499984740745262"/>
      </left>
      <right style="medium">
        <color theme="0" tint="-0.499984740745262"/>
      </right>
      <top/>
      <bottom style="medium">
        <color theme="0" tint="-0.499984740745262"/>
      </bottom>
      <diagonal/>
    </border>
  </borders>
  <cellStyleXfs count="3">
    <xf numFmtId="0" fontId="0" fillId="0" borderId="0"/>
    <xf numFmtId="0" fontId="1" fillId="0" borderId="0">
      <alignment vertical="center"/>
    </xf>
    <xf numFmtId="0" fontId="17" fillId="0" borderId="0"/>
  </cellStyleXfs>
  <cellXfs count="147">
    <xf numFmtId="0" fontId="0" fillId="0" borderId="0" xfId="0"/>
    <xf numFmtId="0" fontId="2" fillId="0" borderId="6" xfId="0" applyFont="1" applyBorder="1" applyAlignment="1">
      <alignment vertical="center" wrapText="1"/>
    </xf>
    <xf numFmtId="0" fontId="7" fillId="0" borderId="0" xfId="0" applyFont="1"/>
    <xf numFmtId="0" fontId="5" fillId="0" borderId="2" xfId="0" applyFont="1" applyBorder="1" applyAlignment="1">
      <alignment horizontal="center" vertical="center" wrapText="1"/>
    </xf>
    <xf numFmtId="0" fontId="5" fillId="0" borderId="2" xfId="0" applyFont="1" applyBorder="1" applyAlignment="1">
      <alignment vertical="center" wrapText="1"/>
    </xf>
    <xf numFmtId="0" fontId="4" fillId="0" borderId="2" xfId="0" applyFont="1" applyBorder="1" applyAlignment="1">
      <alignment horizontal="center" vertical="center" wrapText="1"/>
    </xf>
    <xf numFmtId="0" fontId="5" fillId="0" borderId="0" xfId="0" applyFont="1" applyAlignment="1">
      <alignment horizontal="center" vertical="center" wrapText="1"/>
    </xf>
    <xf numFmtId="0" fontId="5" fillId="0" borderId="0" xfId="0" applyFont="1" applyAlignment="1">
      <alignment vertical="center" wrapText="1"/>
    </xf>
    <xf numFmtId="0" fontId="13" fillId="11" borderId="2" xfId="0" applyFont="1" applyFill="1" applyBorder="1" applyAlignment="1" applyProtection="1">
      <alignment horizontal="left" vertical="center" wrapText="1"/>
      <protection locked="0"/>
    </xf>
    <xf numFmtId="0" fontId="14" fillId="7" borderId="2" xfId="0" applyFont="1" applyFill="1" applyBorder="1" applyAlignment="1">
      <alignment horizontal="center" vertical="center" wrapText="1"/>
    </xf>
    <xf numFmtId="0" fontId="7" fillId="0" borderId="0" xfId="0" applyFont="1" applyAlignment="1">
      <alignment horizontal="center" vertical="center"/>
    </xf>
    <xf numFmtId="0" fontId="9" fillId="0" borderId="0" xfId="0" applyFont="1" applyAlignment="1">
      <alignment horizontal="center" vertical="center"/>
    </xf>
    <xf numFmtId="0" fontId="5" fillId="0" borderId="0" xfId="0" applyFont="1" applyAlignment="1">
      <alignment horizontal="left" vertical="center" wrapText="1"/>
    </xf>
    <xf numFmtId="0" fontId="5" fillId="0" borderId="18" xfId="0" applyFont="1" applyBorder="1" applyAlignment="1">
      <alignment vertical="center" wrapText="1"/>
    </xf>
    <xf numFmtId="0" fontId="1" fillId="0" borderId="2" xfId="0" applyFont="1" applyBorder="1" applyAlignment="1">
      <alignment vertical="center" wrapText="1"/>
    </xf>
    <xf numFmtId="0" fontId="12" fillId="0" borderId="0" xfId="0" applyFont="1" applyAlignment="1">
      <alignment vertical="center"/>
    </xf>
    <xf numFmtId="0" fontId="12" fillId="0" borderId="0" xfId="0" applyFont="1" applyAlignment="1">
      <alignment horizontal="left" vertical="center"/>
    </xf>
    <xf numFmtId="1" fontId="15" fillId="5" borderId="2" xfId="1" applyNumberFormat="1" applyFont="1" applyFill="1" applyBorder="1" applyAlignment="1">
      <alignment horizontal="center" vertical="center" wrapText="1"/>
    </xf>
    <xf numFmtId="1" fontId="14" fillId="10" borderId="2" xfId="1" applyNumberFormat="1" applyFont="1" applyFill="1" applyBorder="1" applyAlignment="1">
      <alignment horizontal="center" vertical="center" wrapText="1"/>
    </xf>
    <xf numFmtId="0" fontId="12" fillId="0" borderId="0" xfId="0" applyFont="1" applyAlignment="1" applyProtection="1">
      <alignment vertical="center"/>
      <protection locked="0"/>
    </xf>
    <xf numFmtId="0" fontId="12" fillId="0" borderId="0" xfId="0" applyFont="1" applyAlignment="1">
      <alignment horizontal="center" vertical="center"/>
    </xf>
    <xf numFmtId="0" fontId="13" fillId="0" borderId="2" xfId="0" quotePrefix="1" applyFont="1" applyBorder="1" applyAlignment="1">
      <alignment horizontal="center" vertical="center" wrapText="1"/>
    </xf>
    <xf numFmtId="0" fontId="5" fillId="0" borderId="2" xfId="0" applyFont="1" applyBorder="1" applyAlignment="1">
      <alignment horizontal="center" wrapText="1"/>
    </xf>
    <xf numFmtId="0" fontId="4" fillId="6" borderId="2" xfId="0" applyFont="1" applyFill="1" applyBorder="1" applyAlignment="1">
      <alignment horizontal="center" wrapText="1"/>
    </xf>
    <xf numFmtId="0" fontId="5" fillId="0" borderId="2" xfId="0" applyFont="1" applyBorder="1" applyAlignment="1">
      <alignment wrapText="1"/>
    </xf>
    <xf numFmtId="0" fontId="16" fillId="2" borderId="2" xfId="0" applyFont="1" applyFill="1" applyBorder="1" applyAlignment="1">
      <alignment horizontal="center" wrapText="1"/>
    </xf>
    <xf numFmtId="0" fontId="16" fillId="12" borderId="2" xfId="0" applyFont="1" applyFill="1" applyBorder="1" applyAlignment="1">
      <alignment horizontal="center" vertical="center" wrapText="1"/>
    </xf>
    <xf numFmtId="0" fontId="12" fillId="3" borderId="1" xfId="0" applyFont="1" applyFill="1" applyBorder="1" applyAlignment="1" applyProtection="1">
      <alignment horizontal="center" vertical="center" wrapText="1"/>
      <protection locked="0"/>
    </xf>
    <xf numFmtId="49" fontId="0" fillId="0" borderId="0" xfId="0" applyNumberFormat="1"/>
    <xf numFmtId="49" fontId="7" fillId="0" borderId="0" xfId="0" applyNumberFormat="1" applyFont="1" applyAlignment="1">
      <alignment horizontal="center" vertical="center"/>
    </xf>
    <xf numFmtId="49" fontId="14" fillId="7" borderId="2" xfId="0" applyNumberFormat="1" applyFont="1" applyFill="1" applyBorder="1" applyAlignment="1">
      <alignment horizontal="center" vertical="center" wrapText="1"/>
    </xf>
    <xf numFmtId="0" fontId="6" fillId="0" borderId="0" xfId="0" applyFont="1" applyAlignment="1">
      <alignment vertical="center" wrapText="1"/>
    </xf>
    <xf numFmtId="0" fontId="21" fillId="0" borderId="0" xfId="0" applyFont="1"/>
    <xf numFmtId="0" fontId="18" fillId="3" borderId="2" xfId="0" applyFont="1" applyFill="1" applyBorder="1" applyAlignment="1">
      <alignment horizontal="left"/>
    </xf>
    <xf numFmtId="0" fontId="18" fillId="0" borderId="2" xfId="0" applyFont="1" applyBorder="1" applyAlignment="1">
      <alignment horizontal="left"/>
    </xf>
    <xf numFmtId="0" fontId="18" fillId="9" borderId="2" xfId="0" applyFont="1" applyFill="1" applyBorder="1"/>
    <xf numFmtId="0" fontId="22" fillId="0" borderId="0" xfId="0" applyFont="1"/>
    <xf numFmtId="0" fontId="23" fillId="9" borderId="2" xfId="0" applyFont="1" applyFill="1" applyBorder="1" applyAlignment="1">
      <alignment horizontal="center" vertical="center" wrapText="1"/>
    </xf>
    <xf numFmtId="0" fontId="24" fillId="0" borderId="0" xfId="0" applyFont="1"/>
    <xf numFmtId="0" fontId="25" fillId="0" borderId="0" xfId="0" applyFont="1"/>
    <xf numFmtId="0" fontId="25" fillId="0" borderId="0" xfId="0" applyFont="1" applyAlignment="1">
      <alignment horizontal="center"/>
    </xf>
    <xf numFmtId="0" fontId="3" fillId="0" borderId="14" xfId="0" applyFont="1" applyBorder="1" applyAlignment="1">
      <alignment vertical="center" wrapText="1"/>
    </xf>
    <xf numFmtId="0" fontId="10" fillId="4" borderId="2" xfId="0" applyFont="1" applyFill="1" applyBorder="1" applyAlignment="1">
      <alignment horizontal="center" vertical="center" wrapText="1"/>
    </xf>
    <xf numFmtId="0" fontId="18" fillId="0" borderId="2" xfId="0" applyFont="1" applyBorder="1" applyAlignment="1">
      <alignment horizontal="left" wrapText="1"/>
    </xf>
    <xf numFmtId="0" fontId="8" fillId="0" borderId="0" xfId="0" applyFont="1" applyAlignment="1">
      <alignment vertical="center"/>
    </xf>
    <xf numFmtId="0" fontId="20" fillId="13" borderId="2" xfId="0" applyFont="1" applyFill="1" applyBorder="1" applyAlignment="1">
      <alignment horizontal="center" vertical="center" wrapText="1"/>
    </xf>
    <xf numFmtId="0" fontId="20" fillId="13" borderId="2" xfId="0" applyFont="1" applyFill="1" applyBorder="1" applyAlignment="1" applyProtection="1">
      <alignment vertical="center" wrapText="1"/>
      <protection locked="0"/>
    </xf>
    <xf numFmtId="0" fontId="20" fillId="0" borderId="2" xfId="0" applyFont="1" applyBorder="1" applyAlignment="1" applyProtection="1">
      <alignment vertical="center" wrapText="1"/>
      <protection locked="0"/>
    </xf>
    <xf numFmtId="0" fontId="20" fillId="14" borderId="2" xfId="0" applyFont="1" applyFill="1" applyBorder="1" applyAlignment="1" applyProtection="1">
      <alignment horizontal="center" vertical="center" wrapText="1"/>
      <protection locked="0"/>
    </xf>
    <xf numFmtId="0" fontId="20" fillId="14" borderId="2" xfId="0" applyFont="1" applyFill="1" applyBorder="1" applyAlignment="1" applyProtection="1">
      <alignment vertical="center" wrapText="1"/>
      <protection locked="0"/>
    </xf>
    <xf numFmtId="0" fontId="12" fillId="14" borderId="2" xfId="0" applyFont="1" applyFill="1" applyBorder="1"/>
    <xf numFmtId="0" fontId="14" fillId="14" borderId="2" xfId="0" applyFont="1" applyFill="1" applyBorder="1" applyAlignment="1">
      <alignment vertical="center" wrapText="1"/>
    </xf>
    <xf numFmtId="0" fontId="4" fillId="6" borderId="2" xfId="0" applyFont="1" applyFill="1" applyBorder="1" applyAlignment="1">
      <alignment horizontal="center" vertical="center" wrapText="1"/>
    </xf>
    <xf numFmtId="0" fontId="16" fillId="2" borderId="2" xfId="0" applyFont="1" applyFill="1" applyBorder="1" applyAlignment="1">
      <alignment horizontal="center" vertical="center" wrapText="1"/>
    </xf>
    <xf numFmtId="1" fontId="15" fillId="15" borderId="2" xfId="1" applyNumberFormat="1" applyFont="1" applyFill="1" applyBorder="1" applyAlignment="1" applyProtection="1">
      <alignment horizontal="center" vertical="center" wrapText="1"/>
      <protection locked="0"/>
    </xf>
    <xf numFmtId="1" fontId="23" fillId="16" borderId="2" xfId="1" applyNumberFormat="1" applyFont="1" applyFill="1" applyBorder="1" applyAlignment="1">
      <alignment horizontal="center" vertical="center" wrapText="1"/>
    </xf>
    <xf numFmtId="0" fontId="31" fillId="0" borderId="0" xfId="0" applyFont="1"/>
    <xf numFmtId="0" fontId="20" fillId="8" borderId="2" xfId="0" applyFont="1" applyFill="1" applyBorder="1" applyAlignment="1">
      <alignment horizontal="center" vertical="center" wrapText="1"/>
    </xf>
    <xf numFmtId="49" fontId="20" fillId="8" borderId="2" xfId="0" applyNumberFormat="1" applyFont="1" applyFill="1" applyBorder="1" applyAlignment="1">
      <alignment horizontal="center" vertical="center" wrapText="1"/>
    </xf>
    <xf numFmtId="0" fontId="1"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 fillId="3" borderId="2" xfId="0" applyFont="1" applyFill="1" applyBorder="1" applyAlignment="1">
      <alignment vertical="center" wrapText="1"/>
    </xf>
    <xf numFmtId="0" fontId="20" fillId="0" borderId="2" xfId="0" applyFont="1" applyBorder="1" applyAlignment="1">
      <alignment horizontal="center" vertical="top" wrapText="1"/>
    </xf>
    <xf numFmtId="0" fontId="20" fillId="0" borderId="2" xfId="0" applyFont="1" applyBorder="1" applyAlignment="1">
      <alignment vertical="top" wrapText="1"/>
    </xf>
    <xf numFmtId="0" fontId="20" fillId="0" borderId="2" xfId="0" applyFont="1" applyBorder="1" applyAlignment="1">
      <alignment horizontal="left" vertical="top" wrapText="1"/>
    </xf>
    <xf numFmtId="0" fontId="20" fillId="0" borderId="2" xfId="0" quotePrefix="1" applyFont="1" applyBorder="1" applyAlignment="1">
      <alignment horizontal="left" vertical="top" wrapText="1"/>
    </xf>
    <xf numFmtId="0" fontId="20" fillId="0" borderId="2" xfId="0" applyFont="1" applyBorder="1" applyAlignment="1">
      <alignment vertical="top"/>
    </xf>
    <xf numFmtId="0" fontId="18" fillId="0" borderId="2" xfId="0" applyFont="1" applyBorder="1" applyAlignment="1">
      <alignment horizontal="center" vertical="center" wrapText="1"/>
    </xf>
    <xf numFmtId="0" fontId="12" fillId="0" borderId="2" xfId="0" applyFont="1" applyBorder="1" applyAlignment="1">
      <alignment horizontal="left" vertical="center" wrapText="1"/>
    </xf>
    <xf numFmtId="0" fontId="12" fillId="0" borderId="2" xfId="0" applyFont="1" applyBorder="1" applyAlignment="1">
      <alignment horizontal="center" vertical="center" wrapText="1"/>
    </xf>
    <xf numFmtId="0" fontId="12" fillId="0" borderId="0" xfId="0" applyFont="1" applyAlignment="1">
      <alignment wrapText="1"/>
    </xf>
    <xf numFmtId="0" fontId="12" fillId="0" borderId="2" xfId="0" applyFont="1" applyBorder="1" applyAlignment="1">
      <alignment horizontal="center" wrapText="1"/>
    </xf>
    <xf numFmtId="0" fontId="12" fillId="0" borderId="2" xfId="0" applyFont="1" applyBorder="1" applyAlignment="1">
      <alignment wrapText="1"/>
    </xf>
    <xf numFmtId="10" fontId="12" fillId="0" borderId="2" xfId="0" applyNumberFormat="1" applyFont="1" applyBorder="1" applyAlignment="1">
      <alignment horizontal="center" vertical="center" wrapText="1"/>
    </xf>
    <xf numFmtId="0" fontId="12" fillId="0" borderId="2" xfId="0" applyFont="1" applyBorder="1" applyAlignment="1">
      <alignment horizontal="center" vertical="center"/>
    </xf>
    <xf numFmtId="1" fontId="15" fillId="5" borderId="2" xfId="1" applyNumberFormat="1" applyFont="1" applyFill="1" applyBorder="1" applyAlignment="1" applyProtection="1">
      <alignment horizontal="center" vertical="center" wrapText="1"/>
      <protection locked="0"/>
    </xf>
    <xf numFmtId="0" fontId="27" fillId="0" borderId="23" xfId="0" applyFont="1" applyBorder="1" applyAlignment="1">
      <alignment horizontal="center" vertical="center" wrapText="1"/>
    </xf>
    <xf numFmtId="0" fontId="27" fillId="0" borderId="24" xfId="0" applyFont="1" applyBorder="1" applyAlignment="1">
      <alignment horizontal="center" vertical="center" wrapText="1"/>
    </xf>
    <xf numFmtId="0" fontId="27" fillId="0" borderId="25" xfId="0" applyFont="1" applyBorder="1" applyAlignment="1">
      <alignment horizontal="center" vertical="center" wrapText="1"/>
    </xf>
    <xf numFmtId="0" fontId="27" fillId="0" borderId="11" xfId="0" applyFont="1" applyBorder="1" applyAlignment="1">
      <alignment horizontal="center" vertical="center" wrapText="1"/>
    </xf>
    <xf numFmtId="0" fontId="27" fillId="0" borderId="12" xfId="0" applyFont="1" applyBorder="1" applyAlignment="1">
      <alignment horizontal="center" vertical="center" wrapText="1"/>
    </xf>
    <xf numFmtId="0" fontId="27" fillId="0" borderId="13" xfId="0" applyFont="1" applyBorder="1" applyAlignment="1">
      <alignment horizontal="center" vertical="center" wrapText="1"/>
    </xf>
    <xf numFmtId="0" fontId="27" fillId="0" borderId="14" xfId="0" applyFont="1" applyBorder="1" applyAlignment="1">
      <alignment horizontal="center" vertical="center" wrapText="1"/>
    </xf>
    <xf numFmtId="0" fontId="27" fillId="0" borderId="0" xfId="0" applyFont="1" applyAlignment="1">
      <alignment horizontal="center" vertical="center" wrapText="1"/>
    </xf>
    <xf numFmtId="0" fontId="27" fillId="0" borderId="10" xfId="0" applyFont="1" applyBorder="1" applyAlignment="1">
      <alignment horizontal="center" vertical="center" wrapText="1"/>
    </xf>
    <xf numFmtId="0" fontId="27" fillId="0" borderId="15" xfId="0" applyFont="1" applyBorder="1" applyAlignment="1">
      <alignment horizontal="center" vertical="center" wrapText="1"/>
    </xf>
    <xf numFmtId="0" fontId="27" fillId="0" borderId="16" xfId="0" applyFont="1" applyBorder="1" applyAlignment="1">
      <alignment horizontal="center" vertical="center" wrapText="1"/>
    </xf>
    <xf numFmtId="0" fontId="27" fillId="0" borderId="17" xfId="0" applyFont="1" applyBorder="1" applyAlignment="1">
      <alignment horizontal="center" vertical="center" wrapText="1"/>
    </xf>
    <xf numFmtId="0" fontId="32" fillId="0" borderId="12" xfId="0" applyFont="1" applyBorder="1" applyAlignment="1">
      <alignment horizontal="center" vertical="center" wrapText="1"/>
    </xf>
    <xf numFmtId="0" fontId="32" fillId="0" borderId="13" xfId="0" applyFont="1" applyBorder="1" applyAlignment="1">
      <alignment horizontal="center" vertical="center" wrapText="1"/>
    </xf>
    <xf numFmtId="0" fontId="32" fillId="0" borderId="0" xfId="0" applyFont="1" applyAlignment="1">
      <alignment horizontal="center" vertical="center" wrapText="1"/>
    </xf>
    <xf numFmtId="0" fontId="32" fillId="0" borderId="10" xfId="0" applyFont="1" applyBorder="1" applyAlignment="1">
      <alignment horizontal="center" vertical="center" wrapText="1"/>
    </xf>
    <xf numFmtId="0" fontId="32" fillId="0" borderId="16" xfId="0" applyFont="1" applyBorder="1" applyAlignment="1">
      <alignment horizontal="center" vertical="center" wrapText="1"/>
    </xf>
    <xf numFmtId="0" fontId="32" fillId="0" borderId="17" xfId="0" applyFont="1" applyBorder="1" applyAlignment="1">
      <alignment horizontal="center" vertical="center" wrapText="1"/>
    </xf>
    <xf numFmtId="0" fontId="3" fillId="0" borderId="23"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7" fillId="0" borderId="7" xfId="0" applyFont="1" applyBorder="1"/>
    <xf numFmtId="0" fontId="7" fillId="0" borderId="8" xfId="0" applyFont="1" applyBorder="1"/>
    <xf numFmtId="0" fontId="7" fillId="0" borderId="9" xfId="0" applyFont="1" applyBorder="1"/>
    <xf numFmtId="0" fontId="2" fillId="0" borderId="7" xfId="0" applyFont="1" applyBorder="1" applyAlignment="1">
      <alignment vertical="center" wrapText="1"/>
    </xf>
    <xf numFmtId="0" fontId="2" fillId="0" borderId="8" xfId="0" applyFont="1" applyBorder="1" applyAlignment="1">
      <alignment vertical="center" wrapText="1"/>
    </xf>
    <xf numFmtId="0" fontId="2" fillId="0" borderId="9" xfId="0" applyFont="1" applyBorder="1" applyAlignment="1">
      <alignment vertical="center" wrapText="1"/>
    </xf>
    <xf numFmtId="0" fontId="30" fillId="0" borderId="7" xfId="0" applyFont="1" applyBorder="1" applyAlignment="1">
      <alignment horizontal="center" vertical="center" wrapText="1"/>
    </xf>
    <xf numFmtId="0" fontId="30" fillId="0" borderId="8" xfId="0" applyFont="1" applyBorder="1" applyAlignment="1">
      <alignment horizontal="center" vertical="center" wrapText="1"/>
    </xf>
    <xf numFmtId="0" fontId="30" fillId="0" borderId="9" xfId="0" applyFont="1" applyBorder="1" applyAlignment="1">
      <alignment horizontal="center" vertical="center" wrapText="1"/>
    </xf>
    <xf numFmtId="0" fontId="8" fillId="0" borderId="0" xfId="0" applyFont="1" applyAlignment="1">
      <alignment horizontal="center" vertical="center"/>
    </xf>
    <xf numFmtId="0" fontId="5" fillId="0" borderId="2" xfId="0" applyFont="1" applyBorder="1" applyAlignment="1">
      <alignment horizontal="left" vertical="top" wrapText="1"/>
    </xf>
    <xf numFmtId="0" fontId="10" fillId="4" borderId="2" xfId="0" applyFont="1" applyFill="1" applyBorder="1" applyAlignment="1">
      <alignment horizontal="center" vertical="center" wrapText="1"/>
    </xf>
    <xf numFmtId="0" fontId="11" fillId="4" borderId="2" xfId="0" applyFont="1" applyFill="1" applyBorder="1" applyAlignment="1">
      <alignment vertical="center"/>
    </xf>
    <xf numFmtId="0" fontId="5" fillId="0" borderId="2" xfId="0" applyFont="1" applyBorder="1" applyAlignment="1" applyProtection="1">
      <alignment horizontal="left" vertical="top" wrapText="1"/>
      <protection locked="0"/>
    </xf>
    <xf numFmtId="0" fontId="10" fillId="4" borderId="4" xfId="0" applyFont="1" applyFill="1" applyBorder="1" applyAlignment="1">
      <alignment horizontal="center" vertical="center" wrapText="1"/>
    </xf>
    <xf numFmtId="0" fontId="10" fillId="4" borderId="5" xfId="0" applyFont="1" applyFill="1" applyBorder="1" applyAlignment="1">
      <alignment horizontal="center" vertical="center" wrapText="1"/>
    </xf>
    <xf numFmtId="0" fontId="10" fillId="4" borderId="3" xfId="0" applyFont="1" applyFill="1" applyBorder="1" applyAlignment="1">
      <alignment horizontal="center" vertical="center" wrapText="1"/>
    </xf>
    <xf numFmtId="0" fontId="6" fillId="7" borderId="4" xfId="0" applyFont="1" applyFill="1" applyBorder="1" applyAlignment="1">
      <alignment horizontal="center" vertical="center" wrapText="1"/>
    </xf>
    <xf numFmtId="0" fontId="6" fillId="7" borderId="5" xfId="0" applyFont="1" applyFill="1" applyBorder="1" applyAlignment="1">
      <alignment horizontal="center" vertical="center" wrapText="1"/>
    </xf>
    <xf numFmtId="0" fontId="6" fillId="7" borderId="3" xfId="0" applyFont="1" applyFill="1" applyBorder="1" applyAlignment="1">
      <alignment horizontal="center" vertical="center" wrapText="1"/>
    </xf>
    <xf numFmtId="0" fontId="18" fillId="0" borderId="22" xfId="0" applyFont="1" applyBorder="1" applyAlignment="1">
      <alignment horizontal="center" vertical="center" wrapText="1"/>
    </xf>
    <xf numFmtId="0" fontId="18" fillId="0" borderId="21" xfId="0" applyFont="1" applyBorder="1" applyAlignment="1">
      <alignment horizontal="center" vertical="center" wrapText="1"/>
    </xf>
    <xf numFmtId="0" fontId="18" fillId="0" borderId="1" xfId="0" applyFont="1" applyBorder="1" applyAlignment="1">
      <alignment horizontal="center" vertical="center" wrapText="1"/>
    </xf>
    <xf numFmtId="0" fontId="26" fillId="7" borderId="4" xfId="0" applyFont="1" applyFill="1" applyBorder="1" applyAlignment="1">
      <alignment horizontal="left" vertical="center" wrapText="1"/>
    </xf>
    <xf numFmtId="0" fontId="26" fillId="7" borderId="5" xfId="0" applyFont="1" applyFill="1" applyBorder="1" applyAlignment="1">
      <alignment horizontal="left" vertical="center" wrapText="1"/>
    </xf>
    <xf numFmtId="10" fontId="12" fillId="0" borderId="4" xfId="0" applyNumberFormat="1" applyFont="1" applyBorder="1" applyAlignment="1">
      <alignment horizontal="center" vertical="center" wrapText="1"/>
    </xf>
    <xf numFmtId="10" fontId="12" fillId="0" borderId="5"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0" fontId="20" fillId="14" borderId="2" xfId="0" applyFont="1" applyFill="1" applyBorder="1" applyAlignment="1" applyProtection="1">
      <alignment horizontal="center" vertical="center" wrapText="1"/>
      <protection locked="0"/>
    </xf>
    <xf numFmtId="0" fontId="20" fillId="13" borderId="4" xfId="0" applyFont="1" applyFill="1" applyBorder="1" applyAlignment="1">
      <alignment horizontal="center" vertical="center" wrapText="1"/>
    </xf>
    <xf numFmtId="0" fontId="20" fillId="13" borderId="5" xfId="0" applyFont="1" applyFill="1" applyBorder="1" applyAlignment="1">
      <alignment horizontal="center" vertical="center" wrapText="1"/>
    </xf>
    <xf numFmtId="0" fontId="20" fillId="13" borderId="3" xfId="0" applyFont="1" applyFill="1" applyBorder="1" applyAlignment="1">
      <alignment horizontal="center" vertical="center" wrapText="1"/>
    </xf>
    <xf numFmtId="0" fontId="26" fillId="7" borderId="19" xfId="0" applyFont="1" applyFill="1" applyBorder="1" applyAlignment="1">
      <alignment horizontal="left" vertical="center" wrapText="1"/>
    </xf>
    <xf numFmtId="0" fontId="26" fillId="7" borderId="0" xfId="0" applyFont="1" applyFill="1" applyAlignment="1">
      <alignment horizontal="left" vertical="center" wrapText="1"/>
    </xf>
    <xf numFmtId="0" fontId="26" fillId="7" borderId="20" xfId="0" applyFont="1" applyFill="1" applyBorder="1" applyAlignment="1">
      <alignment horizontal="left" vertical="center" wrapText="1"/>
    </xf>
    <xf numFmtId="0" fontId="20" fillId="14" borderId="4" xfId="0" applyFont="1" applyFill="1" applyBorder="1" applyAlignment="1" applyProtection="1">
      <alignment horizontal="center" vertical="center" wrapText="1"/>
      <protection locked="0"/>
    </xf>
    <xf numFmtId="0" fontId="20" fillId="14" borderId="5" xfId="0" applyFont="1" applyFill="1" applyBorder="1" applyAlignment="1" applyProtection="1">
      <alignment horizontal="center" vertical="center" wrapText="1"/>
      <protection locked="0"/>
    </xf>
    <xf numFmtId="0" fontId="20" fillId="14" borderId="3" xfId="0" applyFont="1" applyFill="1" applyBorder="1" applyAlignment="1" applyProtection="1">
      <alignment horizontal="center" vertical="center" wrapText="1"/>
      <protection locked="0"/>
    </xf>
    <xf numFmtId="10" fontId="12" fillId="0" borderId="2" xfId="0" applyNumberFormat="1" applyFont="1" applyBorder="1" applyAlignment="1">
      <alignment horizontal="center" vertical="center" wrapText="1"/>
    </xf>
    <xf numFmtId="0" fontId="6" fillId="7" borderId="2" xfId="0" applyFont="1" applyFill="1" applyBorder="1" applyAlignment="1">
      <alignment horizontal="center" vertical="center" wrapText="1"/>
    </xf>
    <xf numFmtId="0" fontId="23" fillId="9" borderId="4" xfId="0" applyFont="1" applyFill="1" applyBorder="1" applyAlignment="1">
      <alignment horizontal="center" vertical="center" wrapText="1"/>
    </xf>
    <xf numFmtId="0" fontId="23" fillId="9" borderId="5" xfId="0" applyFont="1" applyFill="1" applyBorder="1" applyAlignment="1">
      <alignment horizontal="center" vertical="center" wrapText="1"/>
    </xf>
    <xf numFmtId="0" fontId="23" fillId="9" borderId="3" xfId="0" applyFont="1" applyFill="1" applyBorder="1" applyAlignment="1">
      <alignment horizontal="center" vertical="center" wrapText="1"/>
    </xf>
    <xf numFmtId="0" fontId="12" fillId="0" borderId="2" xfId="0" applyFont="1" applyBorder="1" applyAlignment="1" applyProtection="1">
      <alignment horizontal="center" vertical="center" wrapText="1"/>
      <protection locked="0"/>
    </xf>
    <xf numFmtId="0" fontId="23" fillId="9" borderId="2" xfId="0" applyFont="1" applyFill="1" applyBorder="1" applyAlignment="1">
      <alignment horizontal="center" vertical="center" wrapText="1"/>
    </xf>
    <xf numFmtId="0" fontId="20" fillId="0" borderId="2" xfId="0" applyFont="1" applyBorder="1" applyAlignment="1" applyProtection="1">
      <alignment horizontal="center" vertical="center" wrapText="1"/>
      <protection locked="0"/>
    </xf>
    <xf numFmtId="0" fontId="20" fillId="14" borderId="2" xfId="0" applyFont="1" applyFill="1" applyBorder="1" applyAlignment="1">
      <alignment horizontal="center"/>
    </xf>
    <xf numFmtId="0" fontId="12" fillId="14" borderId="2" xfId="0" applyFont="1" applyFill="1" applyBorder="1" applyAlignment="1">
      <alignment horizontal="center"/>
    </xf>
    <xf numFmtId="0" fontId="20" fillId="13" borderId="2" xfId="0" applyFont="1" applyFill="1" applyBorder="1" applyAlignment="1" applyProtection="1">
      <alignment horizontal="center" vertical="center" wrapText="1"/>
      <protection locked="0"/>
    </xf>
    <xf numFmtId="0" fontId="0" fillId="0" borderId="0" xfId="0" applyAlignment="1">
      <alignment horizontal="center"/>
    </xf>
  </cellXfs>
  <cellStyles count="3">
    <cellStyle name="Normal" xfId="0" builtinId="0"/>
    <cellStyle name="Normal 2" xfId="1" xr:uid="{00000000-0005-0000-0000-000001000000}"/>
    <cellStyle name="Normal 3" xfId="2" xr:uid="{00000000-0005-0000-0000-000002000000}"/>
  </cellStyles>
  <dxfs count="20">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auto="1"/>
      </font>
      <fill>
        <patternFill>
          <bgColor rgb="FFFF0000"/>
        </patternFill>
      </fill>
    </dxf>
    <dxf>
      <font>
        <color theme="1"/>
      </font>
      <fill>
        <patternFill>
          <bgColor rgb="FF92D050"/>
        </patternFill>
      </fill>
    </dxf>
    <dxf>
      <fill>
        <patternFill>
          <bgColor theme="4" tint="0.59996337778862885"/>
        </patternFill>
      </fill>
    </dxf>
    <dxf>
      <fill>
        <patternFill>
          <bgColor rgb="FF92D050"/>
        </patternFill>
      </fill>
    </dxf>
    <dxf>
      <font>
        <color auto="1"/>
      </font>
      <fill>
        <patternFill>
          <bgColor rgb="FFFF0000"/>
        </patternFill>
      </fill>
    </dxf>
    <dxf>
      <fill>
        <patternFill>
          <bgColor theme="4" tint="0.59996337778862885"/>
        </patternFill>
      </fill>
    </dxf>
    <dxf>
      <fill>
        <patternFill>
          <bgColor rgb="FF92D050"/>
        </patternFill>
      </fill>
    </dxf>
    <dxf>
      <font>
        <color auto="1"/>
      </font>
      <fill>
        <patternFill>
          <bgColor rgb="FFFF0000"/>
        </patternFill>
      </fill>
    </dxf>
  </dxfs>
  <tableStyles count="0" defaultTableStyle="TableStyleMedium2" defaultPivotStyle="PivotStyleMedium9"/>
  <colors>
    <mruColors>
      <color rgb="FFC00000"/>
      <color rgb="FFFF9933"/>
      <color rgb="FFFFCC00"/>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Data!$C$3</c:f>
              <c:strCache>
                <c:ptCount val="1"/>
                <c:pt idx="0">
                  <c:v>Compliant</c:v>
                </c:pt>
              </c:strCache>
            </c:strRef>
          </c:tx>
          <c:spPr>
            <a:solidFill>
              <a:schemeClr val="accent1"/>
            </a:solidFill>
            <a:ln>
              <a:noFill/>
            </a:ln>
            <a:effectLst/>
          </c:spPr>
          <c:invertIfNegative val="0"/>
          <c:cat>
            <c:multiLvlStrRef>
              <c:f>Data!$A$4:$B$7</c:f>
              <c:multiLvlStrCache>
                <c:ptCount val="4"/>
                <c:lvl>
                  <c:pt idx="0">
                    <c:v>Mandatory</c:v>
                  </c:pt>
                  <c:pt idx="1">
                    <c:v>Secondary</c:v>
                  </c:pt>
                  <c:pt idx="2">
                    <c:v>Mandatory</c:v>
                  </c:pt>
                  <c:pt idx="3">
                    <c:v>Secondary</c:v>
                  </c:pt>
                </c:lvl>
                <c:lvl>
                  <c:pt idx="0">
                    <c:v>Implementer</c:v>
                  </c:pt>
                  <c:pt idx="2">
                    <c:v>CISO</c:v>
                  </c:pt>
                </c:lvl>
              </c:multiLvlStrCache>
            </c:multiLvlStrRef>
          </c:cat>
          <c:val>
            <c:numRef>
              <c:f>Data!$C$4:$C$7</c:f>
              <c:numCache>
                <c:formatCode>General</c:formatCode>
                <c:ptCount val="4"/>
                <c:pt idx="0">
                  <c:v>13</c:v>
                </c:pt>
                <c:pt idx="1">
                  <c:v>0</c:v>
                </c:pt>
                <c:pt idx="2">
                  <c:v>0</c:v>
                </c:pt>
                <c:pt idx="3">
                  <c:v>0</c:v>
                </c:pt>
              </c:numCache>
            </c:numRef>
          </c:val>
          <c:extLst>
            <c:ext xmlns:c16="http://schemas.microsoft.com/office/drawing/2014/chart" uri="{C3380CC4-5D6E-409C-BE32-E72D297353CC}">
              <c16:uniqueId val="{00000000-21BF-4528-BE80-9CCDE49B7713}"/>
            </c:ext>
          </c:extLst>
        </c:ser>
        <c:ser>
          <c:idx val="1"/>
          <c:order val="1"/>
          <c:tx>
            <c:strRef>
              <c:f>Data!$D$3</c:f>
              <c:strCache>
                <c:ptCount val="1"/>
                <c:pt idx="0">
                  <c:v>Non Compliant</c:v>
                </c:pt>
              </c:strCache>
            </c:strRef>
          </c:tx>
          <c:spPr>
            <a:solidFill>
              <a:schemeClr val="accent2"/>
            </a:solidFill>
            <a:ln>
              <a:noFill/>
            </a:ln>
            <a:effectLst/>
          </c:spPr>
          <c:invertIfNegative val="0"/>
          <c:cat>
            <c:multiLvlStrRef>
              <c:f>Data!$A$4:$B$7</c:f>
              <c:multiLvlStrCache>
                <c:ptCount val="4"/>
                <c:lvl>
                  <c:pt idx="0">
                    <c:v>Mandatory</c:v>
                  </c:pt>
                  <c:pt idx="1">
                    <c:v>Secondary</c:v>
                  </c:pt>
                  <c:pt idx="2">
                    <c:v>Mandatory</c:v>
                  </c:pt>
                  <c:pt idx="3">
                    <c:v>Secondary</c:v>
                  </c:pt>
                </c:lvl>
                <c:lvl>
                  <c:pt idx="0">
                    <c:v>Implementer</c:v>
                  </c:pt>
                  <c:pt idx="2">
                    <c:v>CISO</c:v>
                  </c:pt>
                </c:lvl>
              </c:multiLvlStrCache>
            </c:multiLvlStrRef>
          </c:cat>
          <c:val>
            <c:numRef>
              <c:f>Data!$D$4:$D$7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21BF-4528-BE80-9CCDE49B7713}"/>
            </c:ext>
          </c:extLst>
        </c:ser>
        <c:ser>
          <c:idx val="2"/>
          <c:order val="2"/>
          <c:tx>
            <c:strRef>
              <c:f>Data!$E$3</c:f>
              <c:strCache>
                <c:ptCount val="1"/>
                <c:pt idx="0">
                  <c:v>Control Exemption</c:v>
                </c:pt>
              </c:strCache>
            </c:strRef>
          </c:tx>
          <c:spPr>
            <a:solidFill>
              <a:schemeClr val="accent3"/>
            </a:solidFill>
            <a:ln>
              <a:noFill/>
            </a:ln>
            <a:effectLst/>
          </c:spPr>
          <c:invertIfNegative val="0"/>
          <c:cat>
            <c:multiLvlStrRef>
              <c:f>Data!$A$4:$B$7</c:f>
              <c:multiLvlStrCache>
                <c:ptCount val="4"/>
                <c:lvl>
                  <c:pt idx="0">
                    <c:v>Mandatory</c:v>
                  </c:pt>
                  <c:pt idx="1">
                    <c:v>Secondary</c:v>
                  </c:pt>
                  <c:pt idx="2">
                    <c:v>Mandatory</c:v>
                  </c:pt>
                  <c:pt idx="3">
                    <c:v>Secondary</c:v>
                  </c:pt>
                </c:lvl>
                <c:lvl>
                  <c:pt idx="0">
                    <c:v>Implementer</c:v>
                  </c:pt>
                  <c:pt idx="2">
                    <c:v>CISO</c:v>
                  </c:pt>
                </c:lvl>
              </c:multiLvlStrCache>
            </c:multiLvlStrRef>
          </c:cat>
          <c:val>
            <c:numRef>
              <c:f>Data!$E$4:$E$7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2-21BF-4528-BE80-9CCDE49B7713}"/>
            </c:ext>
          </c:extLst>
        </c:ser>
        <c:dLbls>
          <c:showLegendKey val="0"/>
          <c:showVal val="0"/>
          <c:showCatName val="0"/>
          <c:showSerName val="0"/>
          <c:showPercent val="0"/>
          <c:showBubbleSize val="0"/>
        </c:dLbls>
        <c:gapWidth val="219"/>
        <c:overlap val="-27"/>
        <c:axId val="474311624"/>
        <c:axId val="472601144"/>
        <c:extLst>
          <c:ext xmlns:c15="http://schemas.microsoft.com/office/drawing/2012/chart" uri="{02D57815-91ED-43cb-92C2-25804820EDAC}">
            <c15:filteredBarSeries>
              <c15:ser>
                <c:idx val="3"/>
                <c:order val="3"/>
                <c:tx>
                  <c:strRef>
                    <c:extLst>
                      <c:ext uri="{02D57815-91ED-43cb-92C2-25804820EDAC}">
                        <c15:formulaRef>
                          <c15:sqref>Data!$F$3</c15:sqref>
                        </c15:formulaRef>
                      </c:ext>
                    </c:extLst>
                    <c:strCache>
                      <c:ptCount val="1"/>
                      <c:pt idx="0">
                        <c:v>Total</c:v>
                      </c:pt>
                    </c:strCache>
                  </c:strRef>
                </c:tx>
                <c:spPr>
                  <a:solidFill>
                    <a:schemeClr val="accent4"/>
                  </a:solidFill>
                  <a:ln>
                    <a:noFill/>
                  </a:ln>
                  <a:effectLst/>
                </c:spPr>
                <c:invertIfNegative val="0"/>
                <c:cat>
                  <c:multiLvlStrRef>
                    <c:extLst>
                      <c:ext uri="{02D57815-91ED-43cb-92C2-25804820EDAC}">
                        <c15:formulaRef>
                          <c15:sqref>Data!$A$4:$B$7</c15:sqref>
                        </c15:formulaRef>
                      </c:ext>
                    </c:extLst>
                    <c:multiLvlStrCache>
                      <c:ptCount val="4"/>
                      <c:lvl>
                        <c:pt idx="0">
                          <c:v>Mandatory</c:v>
                        </c:pt>
                        <c:pt idx="1">
                          <c:v>Secondary</c:v>
                        </c:pt>
                        <c:pt idx="2">
                          <c:v>Mandatory</c:v>
                        </c:pt>
                        <c:pt idx="3">
                          <c:v>Secondary</c:v>
                        </c:pt>
                      </c:lvl>
                      <c:lvl>
                        <c:pt idx="0">
                          <c:v>Implementer</c:v>
                        </c:pt>
                        <c:pt idx="2">
                          <c:v>CISO</c:v>
                        </c:pt>
                      </c:lvl>
                    </c:multiLvlStrCache>
                  </c:multiLvlStrRef>
                </c:cat>
                <c:val>
                  <c:numRef>
                    <c:extLst>
                      <c:ext uri="{02D57815-91ED-43cb-92C2-25804820EDAC}">
                        <c15:formulaRef>
                          <c15:sqref>Data!$F$4:$F$7</c15:sqref>
                        </c15:formulaRef>
                      </c:ext>
                    </c:extLst>
                    <c:numCache>
                      <c:formatCode>General</c:formatCode>
                      <c:ptCount val="4"/>
                      <c:pt idx="0">
                        <c:v>13</c:v>
                      </c:pt>
                      <c:pt idx="1">
                        <c:v>0</c:v>
                      </c:pt>
                      <c:pt idx="2">
                        <c:v>0</c:v>
                      </c:pt>
                      <c:pt idx="3">
                        <c:v>0</c:v>
                      </c:pt>
                    </c:numCache>
                  </c:numRef>
                </c:val>
                <c:extLst>
                  <c:ext xmlns:c16="http://schemas.microsoft.com/office/drawing/2014/chart" uri="{C3380CC4-5D6E-409C-BE32-E72D297353CC}">
                    <c16:uniqueId val="{00000003-21BF-4528-BE80-9CCDE49B7713}"/>
                  </c:ext>
                </c:extLst>
              </c15:ser>
            </c15:filteredBarSeries>
          </c:ext>
        </c:extLst>
      </c:barChart>
      <c:catAx>
        <c:axId val="474311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472601144"/>
        <c:crosses val="autoZero"/>
        <c:auto val="1"/>
        <c:lblAlgn val="ctr"/>
        <c:lblOffset val="100"/>
        <c:noMultiLvlLbl val="0"/>
      </c:catAx>
      <c:valAx>
        <c:axId val="472601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47431162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200" baseline="0">
          <a:latin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228600</xdr:colOff>
      <xdr:row>2</xdr:row>
      <xdr:rowOff>0</xdr:rowOff>
    </xdr:from>
    <xdr:to>
      <xdr:col>1</xdr:col>
      <xdr:colOff>1276350</xdr:colOff>
      <xdr:row>6</xdr:row>
      <xdr:rowOff>7473</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8200" y="371475"/>
          <a:ext cx="1047750" cy="7866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55033</xdr:rowOff>
    </xdr:from>
    <xdr:to>
      <xdr:col>5</xdr:col>
      <xdr:colOff>4148667</xdr:colOff>
      <xdr:row>53</xdr:row>
      <xdr:rowOff>147711</xdr:rowOff>
    </xdr:to>
    <xdr:graphicFrame macro="">
      <xdr:nvGraphicFramePr>
        <xdr:cNvPr id="3" name="Chart 1">
          <a:extLst>
            <a:ext uri="{FF2B5EF4-FFF2-40B4-BE49-F238E27FC236}">
              <a16:creationId xmlns:a16="http://schemas.microsoft.com/office/drawing/2014/main" id="{35D91E73-FF97-4448-81EB-08CD256EE2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ites.ey.com/KPMG/Delivery/Vodafone/checklist/002-Test%20Document%20-%20Transmission%20-%20Juniper%20Netscreen%20firewall%20-%20Eesha%20V1_modifi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Sheet4"/>
      <sheetName val="Framework-Instruction-Mapping"/>
      <sheetName val="Compliance (Device Specific)"/>
      <sheetName val="Device  Name-Netscreen Firewall"/>
      <sheetName val="Data"/>
      <sheetName val="Validation Lists"/>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Custom 5">
      <a:dk1>
        <a:sysClr val="windowText" lastClr="000000"/>
      </a:dk1>
      <a:lt1>
        <a:sysClr val="window" lastClr="FFFFFF"/>
      </a:lt1>
      <a:dk2>
        <a:srgbClr val="1F497D"/>
      </a:dk2>
      <a:lt2>
        <a:srgbClr val="EEECE1"/>
      </a:lt2>
      <a:accent1>
        <a:srgbClr val="0B458F"/>
      </a:accent1>
      <a:accent2>
        <a:srgbClr val="C00000"/>
      </a:accent2>
      <a:accent3>
        <a:srgbClr val="00B0F0"/>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G18"/>
  <sheetViews>
    <sheetView zoomScaleNormal="100" workbookViewId="0">
      <selection activeCell="C16" sqref="C16:F18"/>
    </sheetView>
  </sheetViews>
  <sheetFormatPr defaultColWidth="9.140625" defaultRowHeight="14.25" x14ac:dyDescent="0.2"/>
  <cols>
    <col min="1" max="1" width="9.140625" style="2"/>
    <col min="2" max="2" width="22.5703125" style="2" customWidth="1"/>
    <col min="3" max="4" width="21.5703125" style="2" customWidth="1"/>
    <col min="5" max="5" width="19" style="2" customWidth="1"/>
    <col min="6" max="6" width="23.42578125" style="2" customWidth="1"/>
    <col min="7" max="16384" width="9.140625" style="2"/>
  </cols>
  <sheetData>
    <row r="2" spans="2:7" ht="15" thickBot="1" x14ac:dyDescent="0.25"/>
    <row r="3" spans="2:7" x14ac:dyDescent="0.2">
      <c r="B3" s="97"/>
      <c r="C3" s="100" t="s">
        <v>0</v>
      </c>
      <c r="D3" s="103" t="s">
        <v>1</v>
      </c>
      <c r="E3" s="100" t="s">
        <v>2</v>
      </c>
      <c r="F3" s="100" t="s">
        <v>3</v>
      </c>
    </row>
    <row r="4" spans="2:7" ht="16.5" customHeight="1" thickBot="1" x14ac:dyDescent="0.25">
      <c r="B4" s="98"/>
      <c r="C4" s="101"/>
      <c r="D4" s="104"/>
      <c r="E4" s="102"/>
      <c r="F4" s="102"/>
    </row>
    <row r="5" spans="2:7" ht="15" customHeight="1" thickBot="1" x14ac:dyDescent="0.25">
      <c r="B5" s="98"/>
      <c r="C5" s="102"/>
      <c r="D5" s="105"/>
      <c r="E5" s="1" t="s">
        <v>4</v>
      </c>
      <c r="F5" s="1" t="s">
        <v>5</v>
      </c>
    </row>
    <row r="6" spans="2:7" ht="15" thickBot="1" x14ac:dyDescent="0.25">
      <c r="B6" s="99"/>
      <c r="C6" s="1" t="s">
        <v>6</v>
      </c>
      <c r="D6" s="1" t="s">
        <v>7</v>
      </c>
      <c r="E6" s="1" t="s">
        <v>8</v>
      </c>
      <c r="F6" s="1" t="s">
        <v>7</v>
      </c>
    </row>
    <row r="10" spans="2:7" x14ac:dyDescent="0.2">
      <c r="C10" s="56"/>
      <c r="D10" s="56"/>
      <c r="E10" s="56"/>
      <c r="F10" s="56"/>
    </row>
    <row r="11" spans="2:7" ht="15" thickBot="1" x14ac:dyDescent="0.25">
      <c r="C11" s="56"/>
      <c r="D11" s="56"/>
      <c r="E11" s="56"/>
      <c r="F11" s="56"/>
    </row>
    <row r="12" spans="2:7" ht="15" customHeight="1" x14ac:dyDescent="0.2">
      <c r="B12" s="94" t="s">
        <v>9</v>
      </c>
      <c r="C12" s="88" t="s">
        <v>1</v>
      </c>
      <c r="D12" s="88"/>
      <c r="E12" s="88"/>
      <c r="F12" s="89"/>
    </row>
    <row r="13" spans="2:7" ht="15.75" customHeight="1" x14ac:dyDescent="0.2">
      <c r="B13" s="95"/>
      <c r="C13" s="90"/>
      <c r="D13" s="90"/>
      <c r="E13" s="90"/>
      <c r="F13" s="91"/>
    </row>
    <row r="14" spans="2:7" ht="15.75" customHeight="1" thickBot="1" x14ac:dyDescent="0.25">
      <c r="B14" s="96"/>
      <c r="C14" s="92"/>
      <c r="D14" s="92"/>
      <c r="E14" s="92"/>
      <c r="F14" s="93"/>
    </row>
    <row r="15" spans="2:7" ht="15" thickBot="1" x14ac:dyDescent="0.25">
      <c r="C15" s="56"/>
      <c r="D15" s="56"/>
      <c r="E15" s="56"/>
      <c r="F15" s="56"/>
    </row>
    <row r="16" spans="2:7" ht="15.75" customHeight="1" x14ac:dyDescent="0.2">
      <c r="B16" s="76" t="s">
        <v>10</v>
      </c>
      <c r="C16" s="79" t="s">
        <v>11</v>
      </c>
      <c r="D16" s="80"/>
      <c r="E16" s="80"/>
      <c r="F16" s="81"/>
      <c r="G16" s="41"/>
    </row>
    <row r="17" spans="2:7" ht="13.7" customHeight="1" x14ac:dyDescent="0.2">
      <c r="B17" s="77"/>
      <c r="C17" s="82"/>
      <c r="D17" s="83"/>
      <c r="E17" s="83"/>
      <c r="F17" s="84"/>
      <c r="G17" s="41"/>
    </row>
    <row r="18" spans="2:7" ht="14.45" customHeight="1" thickBot="1" x14ac:dyDescent="0.25">
      <c r="B18" s="78"/>
      <c r="C18" s="85"/>
      <c r="D18" s="86"/>
      <c r="E18" s="86"/>
      <c r="F18" s="87"/>
      <c r="G18" s="41"/>
    </row>
  </sheetData>
  <mergeCells count="9">
    <mergeCell ref="B16:B18"/>
    <mergeCell ref="C16:F18"/>
    <mergeCell ref="C12:F14"/>
    <mergeCell ref="B12:B14"/>
    <mergeCell ref="B3:B6"/>
    <mergeCell ref="C3:C5"/>
    <mergeCell ref="E3:E4"/>
    <mergeCell ref="F3:F4"/>
    <mergeCell ref="D3:D5"/>
  </mergeCells>
  <pageMargins left="0.7" right="0.7" top="0.75" bottom="0.75" header="0.3" footer="0.3"/>
  <pageSetup orientation="landscape" horizontalDpi="90" verticalDpi="9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G6"/>
  <sheetViews>
    <sheetView workbookViewId="0">
      <selection activeCell="E7" sqref="E7"/>
    </sheetView>
  </sheetViews>
  <sheetFormatPr defaultRowHeight="15" x14ac:dyDescent="0.25"/>
  <cols>
    <col min="2" max="2" width="10.140625" customWidth="1"/>
    <col min="3" max="3" width="15.5703125" style="28" customWidth="1"/>
    <col min="4" max="4" width="21.5703125" customWidth="1"/>
    <col min="5" max="5" width="20.85546875" customWidth="1"/>
    <col min="6" max="6" width="22" customWidth="1"/>
    <col min="7" max="7" width="23.42578125" customWidth="1"/>
  </cols>
  <sheetData>
    <row r="2" spans="2:7" ht="18" x14ac:dyDescent="0.25">
      <c r="B2" s="106" t="s">
        <v>12</v>
      </c>
      <c r="C2" s="106"/>
      <c r="D2" s="106"/>
      <c r="E2" s="106"/>
      <c r="F2" s="44"/>
      <c r="G2" s="44"/>
    </row>
    <row r="3" spans="2:7" x14ac:dyDescent="0.25">
      <c r="B3" s="10"/>
      <c r="C3" s="29"/>
      <c r="D3" s="10"/>
      <c r="E3" s="10"/>
      <c r="F3" s="10"/>
      <c r="G3" s="10"/>
    </row>
    <row r="4" spans="2:7" ht="33.6" customHeight="1" x14ac:dyDescent="0.25">
      <c r="B4" s="9" t="s">
        <v>10</v>
      </c>
      <c r="C4" s="30" t="s">
        <v>13</v>
      </c>
      <c r="D4" s="9" t="s">
        <v>14</v>
      </c>
      <c r="E4" s="9" t="s">
        <v>15</v>
      </c>
    </row>
    <row r="5" spans="2:7" x14ac:dyDescent="0.25">
      <c r="B5" s="57">
        <v>1</v>
      </c>
      <c r="C5" s="58" t="s">
        <v>16</v>
      </c>
      <c r="D5" s="57" t="s">
        <v>17</v>
      </c>
      <c r="E5" s="57" t="s">
        <v>18</v>
      </c>
    </row>
    <row r="6" spans="2:7" x14ac:dyDescent="0.25">
      <c r="B6" s="57">
        <v>2</v>
      </c>
      <c r="C6" s="58" t="s">
        <v>19</v>
      </c>
      <c r="D6" s="57" t="s">
        <v>20</v>
      </c>
      <c r="E6" s="57" t="s">
        <v>21</v>
      </c>
    </row>
  </sheetData>
  <mergeCells count="1">
    <mergeCell ref="B2:E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J36"/>
  <sheetViews>
    <sheetView workbookViewId="0">
      <selection activeCell="C19" sqref="C19"/>
    </sheetView>
  </sheetViews>
  <sheetFormatPr defaultColWidth="9.140625" defaultRowHeight="12.75" x14ac:dyDescent="0.25"/>
  <cols>
    <col min="1" max="2" width="9.140625" style="7"/>
    <col min="3" max="3" width="39.85546875" style="7" customWidth="1"/>
    <col min="4" max="4" width="90.85546875" style="7" customWidth="1"/>
    <col min="5" max="5" width="39" style="7" customWidth="1"/>
    <col min="6" max="16384" width="9.140625" style="7"/>
  </cols>
  <sheetData>
    <row r="1" spans="2:10" ht="18" x14ac:dyDescent="0.25">
      <c r="B1" s="106" t="s">
        <v>22</v>
      </c>
      <c r="C1" s="106"/>
      <c r="D1" s="106"/>
      <c r="E1" s="11"/>
      <c r="F1" s="11"/>
      <c r="G1" s="11"/>
      <c r="H1" s="11"/>
      <c r="I1" s="11"/>
      <c r="J1" s="11"/>
    </row>
    <row r="3" spans="2:10" ht="15" x14ac:dyDescent="0.25">
      <c r="B3" s="108" t="s">
        <v>23</v>
      </c>
      <c r="C3" s="109"/>
      <c r="D3" s="109"/>
    </row>
    <row r="4" spans="2:10" ht="103.5" customHeight="1" x14ac:dyDescent="0.25">
      <c r="B4" s="107" t="s">
        <v>24</v>
      </c>
      <c r="C4" s="107"/>
      <c r="D4" s="107"/>
    </row>
    <row r="5" spans="2:10" x14ac:dyDescent="0.25">
      <c r="B5" s="12"/>
      <c r="C5" s="12"/>
      <c r="D5" s="12"/>
    </row>
    <row r="6" spans="2:10" ht="15" x14ac:dyDescent="0.25">
      <c r="B6" s="108" t="s">
        <v>25</v>
      </c>
      <c r="C6" s="109"/>
      <c r="D6" s="109"/>
    </row>
    <row r="7" spans="2:10" ht="153.94999999999999" customHeight="1" x14ac:dyDescent="0.25">
      <c r="B7" s="110" t="s">
        <v>26</v>
      </c>
      <c r="C7" s="110"/>
      <c r="D7" s="110"/>
    </row>
    <row r="8" spans="2:10" ht="15" customHeight="1" x14ac:dyDescent="0.25">
      <c r="D8" s="13"/>
    </row>
    <row r="10" spans="2:10" ht="15.75" x14ac:dyDescent="0.25">
      <c r="B10" s="42" t="s">
        <v>27</v>
      </c>
      <c r="C10" s="42" t="s">
        <v>28</v>
      </c>
      <c r="D10" s="42" t="s">
        <v>29</v>
      </c>
      <c r="E10" s="42" t="s">
        <v>30</v>
      </c>
    </row>
    <row r="11" spans="2:10" ht="51" x14ac:dyDescent="0.25">
      <c r="B11" s="3">
        <v>1</v>
      </c>
      <c r="C11" s="5" t="s">
        <v>31</v>
      </c>
      <c r="D11" s="4" t="s">
        <v>32</v>
      </c>
      <c r="E11" s="61" t="s">
        <v>33</v>
      </c>
    </row>
    <row r="12" spans="2:10" ht="51" x14ac:dyDescent="0.25">
      <c r="B12" s="3">
        <v>2</v>
      </c>
      <c r="C12" s="5" t="s">
        <v>34</v>
      </c>
      <c r="D12" s="4" t="s">
        <v>35</v>
      </c>
      <c r="E12" s="61" t="s">
        <v>36</v>
      </c>
    </row>
    <row r="13" spans="2:10" ht="38.25" x14ac:dyDescent="0.25">
      <c r="B13" s="3">
        <v>3</v>
      </c>
      <c r="C13" s="5" t="s">
        <v>37</v>
      </c>
      <c r="D13" s="4" t="s">
        <v>38</v>
      </c>
      <c r="E13" s="61" t="s">
        <v>39</v>
      </c>
    </row>
    <row r="14" spans="2:10" ht="29.1" customHeight="1" x14ac:dyDescent="0.25">
      <c r="B14" s="3">
        <v>4</v>
      </c>
      <c r="C14" s="5" t="s">
        <v>40</v>
      </c>
      <c r="D14" s="4" t="s">
        <v>41</v>
      </c>
      <c r="E14" s="61" t="s">
        <v>42</v>
      </c>
    </row>
    <row r="15" spans="2:10" ht="51" x14ac:dyDescent="0.25">
      <c r="B15" s="3">
        <v>5</v>
      </c>
      <c r="C15" s="5" t="s">
        <v>43</v>
      </c>
      <c r="D15" s="4" t="s">
        <v>44</v>
      </c>
      <c r="E15" s="61" t="s">
        <v>45</v>
      </c>
    </row>
    <row r="16" spans="2:10" ht="38.25" x14ac:dyDescent="0.25">
      <c r="B16" s="3">
        <v>6</v>
      </c>
      <c r="C16" s="5" t="s">
        <v>46</v>
      </c>
      <c r="D16" s="4" t="s">
        <v>47</v>
      </c>
      <c r="E16" s="61" t="s">
        <v>48</v>
      </c>
    </row>
    <row r="17" spans="2:5" ht="38.25" x14ac:dyDescent="0.25">
      <c r="B17" s="3">
        <v>7</v>
      </c>
      <c r="C17" s="5" t="s">
        <v>49</v>
      </c>
      <c r="D17" s="4" t="s">
        <v>50</v>
      </c>
      <c r="E17" s="61" t="s">
        <v>51</v>
      </c>
    </row>
    <row r="18" spans="2:5" ht="25.5" x14ac:dyDescent="0.25">
      <c r="B18" s="59">
        <v>8</v>
      </c>
      <c r="C18" s="60" t="s">
        <v>52</v>
      </c>
      <c r="D18" s="14" t="s">
        <v>53</v>
      </c>
      <c r="E18" s="61" t="s">
        <v>54</v>
      </c>
    </row>
    <row r="19" spans="2:5" ht="38.25" x14ac:dyDescent="0.25">
      <c r="B19" s="59">
        <v>9</v>
      </c>
      <c r="C19" s="60" t="s">
        <v>55</v>
      </c>
      <c r="D19" s="14" t="s">
        <v>56</v>
      </c>
      <c r="E19" s="61" t="s">
        <v>57</v>
      </c>
    </row>
    <row r="20" spans="2:5" ht="38.25" x14ac:dyDescent="0.25">
      <c r="B20" s="59">
        <v>10</v>
      </c>
      <c r="C20" s="60" t="s">
        <v>58</v>
      </c>
      <c r="D20" s="14" t="s">
        <v>59</v>
      </c>
      <c r="E20" s="61" t="s">
        <v>60</v>
      </c>
    </row>
    <row r="21" spans="2:5" ht="25.5" x14ac:dyDescent="0.25">
      <c r="B21" s="59">
        <v>11</v>
      </c>
      <c r="C21" s="60" t="s">
        <v>61</v>
      </c>
      <c r="D21" s="14" t="s">
        <v>62</v>
      </c>
      <c r="E21" s="61" t="s">
        <v>63</v>
      </c>
    </row>
    <row r="22" spans="2:5" ht="51" x14ac:dyDescent="0.25">
      <c r="B22" s="59">
        <v>12</v>
      </c>
      <c r="C22" s="60" t="s">
        <v>64</v>
      </c>
      <c r="D22" s="14" t="s">
        <v>65</v>
      </c>
      <c r="E22" s="61" t="s">
        <v>66</v>
      </c>
    </row>
    <row r="23" spans="2:5" ht="25.5" x14ac:dyDescent="0.25">
      <c r="B23" s="59">
        <v>13</v>
      </c>
      <c r="C23" s="60" t="s">
        <v>67</v>
      </c>
      <c r="D23" s="14" t="s">
        <v>68</v>
      </c>
      <c r="E23" s="61" t="s">
        <v>69</v>
      </c>
    </row>
    <row r="25" spans="2:5" x14ac:dyDescent="0.25">
      <c r="B25" s="6"/>
      <c r="C25" s="6"/>
    </row>
    <row r="26" spans="2:5" ht="15.75" x14ac:dyDescent="0.25">
      <c r="B26" s="42" t="s">
        <v>70</v>
      </c>
      <c r="C26" s="42" t="s">
        <v>71</v>
      </c>
      <c r="D26" s="42" t="s">
        <v>72</v>
      </c>
    </row>
    <row r="27" spans="2:5" ht="25.5" x14ac:dyDescent="0.25">
      <c r="B27" s="3">
        <v>1</v>
      </c>
      <c r="C27" s="53" t="s">
        <v>73</v>
      </c>
      <c r="D27" s="14" t="s">
        <v>74</v>
      </c>
    </row>
    <row r="28" spans="2:5" ht="25.5" x14ac:dyDescent="0.25">
      <c r="B28" s="3">
        <v>2</v>
      </c>
      <c r="C28" s="52" t="s">
        <v>75</v>
      </c>
      <c r="D28" s="4" t="s">
        <v>76</v>
      </c>
    </row>
    <row r="29" spans="2:5" x14ac:dyDescent="0.25">
      <c r="B29" s="6"/>
    </row>
    <row r="30" spans="2:5" ht="15" customHeight="1" x14ac:dyDescent="0.25">
      <c r="B30" s="111" t="s">
        <v>77</v>
      </c>
      <c r="C30" s="112"/>
      <c r="D30" s="113"/>
    </row>
    <row r="31" spans="2:5" ht="29.45" customHeight="1" x14ac:dyDescent="0.25">
      <c r="B31" s="107" t="s">
        <v>78</v>
      </c>
      <c r="C31" s="107"/>
      <c r="D31" s="107"/>
    </row>
    <row r="32" spans="2:5" x14ac:dyDescent="0.25">
      <c r="B32" s="6"/>
      <c r="E32" s="6"/>
    </row>
    <row r="33" spans="2:5" ht="17.25" customHeight="1" x14ac:dyDescent="0.25">
      <c r="B33" s="42" t="s">
        <v>70</v>
      </c>
      <c r="C33" s="108" t="s">
        <v>79</v>
      </c>
      <c r="D33" s="108"/>
      <c r="E33"/>
    </row>
    <row r="34" spans="2:5" ht="15" x14ac:dyDescent="0.25">
      <c r="B34" s="22">
        <v>1</v>
      </c>
      <c r="C34" s="23" t="s">
        <v>80</v>
      </c>
      <c r="D34" s="24" t="s">
        <v>81</v>
      </c>
      <c r="E34"/>
    </row>
    <row r="35" spans="2:5" ht="15" x14ac:dyDescent="0.25">
      <c r="B35" s="22">
        <v>2</v>
      </c>
      <c r="C35" s="25" t="s">
        <v>82</v>
      </c>
      <c r="D35" s="24" t="s">
        <v>83</v>
      </c>
      <c r="E35"/>
    </row>
    <row r="36" spans="2:5" ht="39" x14ac:dyDescent="0.25">
      <c r="B36" s="3">
        <v>3</v>
      </c>
      <c r="C36" s="26" t="s">
        <v>84</v>
      </c>
      <c r="D36" s="24" t="s">
        <v>85</v>
      </c>
      <c r="E36"/>
    </row>
  </sheetData>
  <mergeCells count="8">
    <mergeCell ref="B1:D1"/>
    <mergeCell ref="B31:D31"/>
    <mergeCell ref="C33:D33"/>
    <mergeCell ref="B3:D3"/>
    <mergeCell ref="B4:D4"/>
    <mergeCell ref="B6:D6"/>
    <mergeCell ref="B7:D7"/>
    <mergeCell ref="B30:D30"/>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508"/>
  <sheetViews>
    <sheetView tabSelected="1" topLeftCell="A10" zoomScale="115" zoomScaleNormal="115" workbookViewId="0">
      <selection activeCell="I14" sqref="I14"/>
    </sheetView>
  </sheetViews>
  <sheetFormatPr defaultColWidth="9.140625" defaultRowHeight="12" x14ac:dyDescent="0.25"/>
  <cols>
    <col min="1" max="1" width="27.140625" style="20" customWidth="1"/>
    <col min="2" max="2" width="21.5703125" style="20" bestFit="1" customWidth="1"/>
    <col min="3" max="3" width="35" style="15" customWidth="1"/>
    <col min="4" max="4" width="56" style="15" customWidth="1"/>
    <col min="5" max="5" width="57.85546875" style="15" customWidth="1"/>
    <col min="6" max="6" width="12.5703125" style="15" customWidth="1"/>
    <col min="7" max="7" width="44.5703125" style="19" customWidth="1"/>
    <col min="8" max="8" width="29.140625" style="19" customWidth="1"/>
    <col min="9" max="9" width="19.5703125" style="19" customWidth="1"/>
    <col min="10" max="10" width="17.5703125" style="19" customWidth="1"/>
    <col min="11" max="11" width="20.85546875" style="15" customWidth="1"/>
    <col min="12" max="12" width="21.42578125" style="15" customWidth="1"/>
    <col min="13" max="13" width="14.5703125" style="15" bestFit="1" customWidth="1"/>
    <col min="14" max="14" width="8.7109375" style="15" bestFit="1" customWidth="1"/>
    <col min="15" max="15" width="10.5703125" style="15" bestFit="1" customWidth="1"/>
    <col min="16" max="17" width="9.140625" style="15"/>
    <col min="18" max="18" width="11.42578125" style="15" bestFit="1" customWidth="1"/>
    <col min="19" max="16384" width="9.140625" style="15"/>
  </cols>
  <sheetData>
    <row r="1" spans="1:18" ht="24" x14ac:dyDescent="0.25">
      <c r="A1" s="17" t="s">
        <v>86</v>
      </c>
      <c r="B1" s="17" t="s">
        <v>87</v>
      </c>
      <c r="C1" s="17" t="s">
        <v>88</v>
      </c>
      <c r="D1" s="17" t="s">
        <v>89</v>
      </c>
      <c r="E1" s="17" t="s">
        <v>90</v>
      </c>
      <c r="F1" s="18" t="s">
        <v>71</v>
      </c>
      <c r="G1" s="54" t="s">
        <v>91</v>
      </c>
      <c r="H1" s="54" t="s">
        <v>92</v>
      </c>
      <c r="I1" s="54" t="s">
        <v>93</v>
      </c>
      <c r="J1" s="54" t="s">
        <v>94</v>
      </c>
      <c r="K1" s="55" t="s">
        <v>95</v>
      </c>
      <c r="L1" s="55" t="s">
        <v>96</v>
      </c>
      <c r="M1" s="75" t="s">
        <v>97</v>
      </c>
      <c r="N1" s="75" t="s">
        <v>98</v>
      </c>
      <c r="O1" s="75" t="s">
        <v>99</v>
      </c>
      <c r="P1" s="75" t="s">
        <v>100</v>
      </c>
      <c r="Q1" s="75" t="s">
        <v>101</v>
      </c>
      <c r="R1" s="75" t="s">
        <v>102</v>
      </c>
    </row>
    <row r="2" spans="1:18" ht="103.5" customHeight="1" x14ac:dyDescent="0.25">
      <c r="A2" s="63" t="s">
        <v>103</v>
      </c>
      <c r="B2" s="64" t="s">
        <v>31</v>
      </c>
      <c r="C2" s="64" t="s">
        <v>104</v>
      </c>
      <c r="D2" s="63" t="s">
        <v>105</v>
      </c>
      <c r="E2" s="63" t="s">
        <v>106</v>
      </c>
      <c r="F2" s="62" t="str">
        <f>IF(R2&lt;=5,"Secondary","Mandatory")</f>
        <v>Mandatory</v>
      </c>
      <c r="G2" s="8" t="s">
        <v>348</v>
      </c>
      <c r="H2" s="27" t="s">
        <v>80</v>
      </c>
      <c r="I2" s="8" t="s">
        <v>349</v>
      </c>
      <c r="J2" s="8" t="s">
        <v>350</v>
      </c>
      <c r="K2" s="27"/>
      <c r="L2" s="21"/>
      <c r="M2" s="74">
        <v>1</v>
      </c>
      <c r="N2" s="74">
        <v>1</v>
      </c>
      <c r="O2" s="74">
        <v>1</v>
      </c>
      <c r="P2" s="74">
        <v>3</v>
      </c>
      <c r="Q2" s="74">
        <v>1</v>
      </c>
      <c r="R2" s="74">
        <f>(M2+N2+O2)*(P2+Q2)</f>
        <v>12</v>
      </c>
    </row>
    <row r="3" spans="1:18" ht="126.6" customHeight="1" x14ac:dyDescent="0.25">
      <c r="A3" s="63" t="s">
        <v>107</v>
      </c>
      <c r="B3" s="64" t="s">
        <v>31</v>
      </c>
      <c r="C3" s="64" t="s">
        <v>108</v>
      </c>
      <c r="D3" s="64" t="s">
        <v>109</v>
      </c>
      <c r="E3" s="64" t="s">
        <v>110</v>
      </c>
      <c r="F3" s="62" t="str">
        <f t="shared" ref="F3:F61" si="0">IF(R3&lt;=5,"Secondary","Mandatory")</f>
        <v>Mandatory</v>
      </c>
      <c r="G3" s="8" t="s">
        <v>351</v>
      </c>
      <c r="H3" s="27" t="s">
        <v>80</v>
      </c>
      <c r="I3" s="8" t="s">
        <v>356</v>
      </c>
      <c r="J3" s="8" t="s">
        <v>355</v>
      </c>
      <c r="K3" s="27"/>
      <c r="L3" s="21"/>
      <c r="M3" s="74">
        <v>1</v>
      </c>
      <c r="N3" s="74">
        <v>1</v>
      </c>
      <c r="O3" s="74">
        <v>1</v>
      </c>
      <c r="P3" s="74">
        <v>2</v>
      </c>
      <c r="Q3" s="74">
        <v>0</v>
      </c>
      <c r="R3" s="74">
        <f t="shared" ref="R3:R61" si="1">(M3+N3+O3)*(P3+Q3)</f>
        <v>6</v>
      </c>
    </row>
    <row r="4" spans="1:18" ht="84" x14ac:dyDescent="0.25">
      <c r="A4" s="63" t="s">
        <v>111</v>
      </c>
      <c r="B4" s="64" t="s">
        <v>31</v>
      </c>
      <c r="C4" s="64" t="s">
        <v>112</v>
      </c>
      <c r="D4" s="64" t="s">
        <v>113</v>
      </c>
      <c r="E4" s="64" t="s">
        <v>106</v>
      </c>
      <c r="F4" s="62" t="str">
        <f t="shared" si="0"/>
        <v>Mandatory</v>
      </c>
      <c r="G4" s="8" t="s">
        <v>352</v>
      </c>
      <c r="H4" s="27" t="s">
        <v>80</v>
      </c>
      <c r="I4" s="8" t="s">
        <v>353</v>
      </c>
      <c r="J4" s="8" t="s">
        <v>354</v>
      </c>
      <c r="K4" s="27"/>
      <c r="L4" s="21"/>
      <c r="M4" s="74">
        <v>1</v>
      </c>
      <c r="N4" s="74">
        <v>1</v>
      </c>
      <c r="O4" s="74">
        <v>0</v>
      </c>
      <c r="P4" s="74">
        <v>3</v>
      </c>
      <c r="Q4" s="74">
        <v>0</v>
      </c>
      <c r="R4" s="74">
        <f t="shared" si="1"/>
        <v>6</v>
      </c>
    </row>
    <row r="5" spans="1:18" ht="72" x14ac:dyDescent="0.25">
      <c r="A5" s="63" t="s">
        <v>114</v>
      </c>
      <c r="B5" s="64" t="s">
        <v>31</v>
      </c>
      <c r="C5" s="64" t="s">
        <v>115</v>
      </c>
      <c r="D5" s="64" t="s">
        <v>116</v>
      </c>
      <c r="E5" s="64" t="s">
        <v>106</v>
      </c>
      <c r="F5" s="62" t="str">
        <f t="shared" si="0"/>
        <v>Mandatory</v>
      </c>
      <c r="G5" s="8" t="s">
        <v>357</v>
      </c>
      <c r="H5" s="27" t="s">
        <v>80</v>
      </c>
      <c r="I5" s="8" t="s">
        <v>358</v>
      </c>
      <c r="J5" s="8" t="s">
        <v>359</v>
      </c>
      <c r="K5" s="27"/>
      <c r="L5" s="21"/>
      <c r="M5" s="74">
        <v>1</v>
      </c>
      <c r="N5" s="74">
        <v>1</v>
      </c>
      <c r="O5" s="74">
        <v>0</v>
      </c>
      <c r="P5" s="74">
        <v>3</v>
      </c>
      <c r="Q5" s="74">
        <v>0</v>
      </c>
      <c r="R5" s="74">
        <f t="shared" si="1"/>
        <v>6</v>
      </c>
    </row>
    <row r="6" spans="1:18" ht="84" x14ac:dyDescent="0.25">
      <c r="A6" s="63" t="s">
        <v>117</v>
      </c>
      <c r="B6" s="64" t="s">
        <v>31</v>
      </c>
      <c r="C6" s="64" t="s">
        <v>118</v>
      </c>
      <c r="D6" s="64" t="s">
        <v>119</v>
      </c>
      <c r="E6" s="64" t="s">
        <v>106</v>
      </c>
      <c r="F6" s="62" t="str">
        <f t="shared" si="0"/>
        <v>Mandatory</v>
      </c>
      <c r="G6" s="8" t="s">
        <v>360</v>
      </c>
      <c r="H6" s="27" t="s">
        <v>80</v>
      </c>
      <c r="I6" s="8" t="s">
        <v>360</v>
      </c>
      <c r="J6" s="8" t="s">
        <v>361</v>
      </c>
      <c r="K6" s="27"/>
      <c r="L6" s="21"/>
      <c r="M6" s="74">
        <v>1</v>
      </c>
      <c r="N6" s="74">
        <v>1</v>
      </c>
      <c r="O6" s="74">
        <v>0</v>
      </c>
      <c r="P6" s="74">
        <v>3</v>
      </c>
      <c r="Q6" s="74">
        <v>0</v>
      </c>
      <c r="R6" s="74">
        <f t="shared" si="1"/>
        <v>6</v>
      </c>
    </row>
    <row r="7" spans="1:18" ht="84" x14ac:dyDescent="0.25">
      <c r="A7" s="63" t="s">
        <v>120</v>
      </c>
      <c r="B7" s="64" t="s">
        <v>34</v>
      </c>
      <c r="C7" s="64" t="s">
        <v>121</v>
      </c>
      <c r="D7" s="64" t="s">
        <v>122</v>
      </c>
      <c r="E7" s="65" t="s">
        <v>123</v>
      </c>
      <c r="F7" s="62" t="str">
        <f t="shared" si="0"/>
        <v>Mandatory</v>
      </c>
      <c r="G7" s="8" t="s">
        <v>362</v>
      </c>
      <c r="H7" s="27" t="s">
        <v>80</v>
      </c>
      <c r="I7" s="8" t="s">
        <v>363</v>
      </c>
      <c r="J7" s="8" t="s">
        <v>364</v>
      </c>
      <c r="K7" s="27"/>
      <c r="L7" s="21"/>
      <c r="M7" s="74">
        <v>1</v>
      </c>
      <c r="N7" s="74">
        <v>1</v>
      </c>
      <c r="O7" s="74">
        <v>1</v>
      </c>
      <c r="P7" s="74">
        <v>3</v>
      </c>
      <c r="Q7" s="74">
        <v>3</v>
      </c>
      <c r="R7" s="74">
        <f t="shared" si="1"/>
        <v>18</v>
      </c>
    </row>
    <row r="8" spans="1:18" ht="96" x14ac:dyDescent="0.25">
      <c r="A8" s="63" t="s">
        <v>124</v>
      </c>
      <c r="B8" s="64" t="s">
        <v>34</v>
      </c>
      <c r="C8" s="64" t="s">
        <v>125</v>
      </c>
      <c r="D8" s="64" t="s">
        <v>126</v>
      </c>
      <c r="E8" s="64" t="s">
        <v>106</v>
      </c>
      <c r="F8" s="62" t="str">
        <f t="shared" si="0"/>
        <v>Mandatory</v>
      </c>
      <c r="G8" s="8" t="s">
        <v>365</v>
      </c>
      <c r="H8" s="27" t="s">
        <v>80</v>
      </c>
      <c r="I8" s="8" t="s">
        <v>366</v>
      </c>
      <c r="J8" s="8" t="s">
        <v>367</v>
      </c>
      <c r="K8" s="27"/>
      <c r="L8" s="21"/>
      <c r="M8" s="74">
        <v>1</v>
      </c>
      <c r="N8" s="74">
        <v>1</v>
      </c>
      <c r="O8" s="74">
        <v>1</v>
      </c>
      <c r="P8" s="74">
        <v>3</v>
      </c>
      <c r="Q8" s="74">
        <v>0</v>
      </c>
      <c r="R8" s="74">
        <f t="shared" si="1"/>
        <v>9</v>
      </c>
    </row>
    <row r="9" spans="1:18" ht="84" x14ac:dyDescent="0.25">
      <c r="A9" s="63" t="s">
        <v>127</v>
      </c>
      <c r="B9" s="64" t="s">
        <v>34</v>
      </c>
      <c r="C9" s="64" t="s">
        <v>128</v>
      </c>
      <c r="D9" s="64" t="s">
        <v>129</v>
      </c>
      <c r="E9" s="64" t="s">
        <v>130</v>
      </c>
      <c r="F9" s="62" t="str">
        <f t="shared" si="0"/>
        <v>Mandatory</v>
      </c>
      <c r="G9" s="8" t="s">
        <v>370</v>
      </c>
      <c r="H9" s="27" t="s">
        <v>80</v>
      </c>
      <c r="I9" s="8" t="s">
        <v>371</v>
      </c>
      <c r="J9" s="8" t="s">
        <v>372</v>
      </c>
      <c r="K9" s="27"/>
      <c r="L9" s="21"/>
      <c r="M9" s="74">
        <v>1</v>
      </c>
      <c r="N9" s="74">
        <v>1</v>
      </c>
      <c r="O9" s="74">
        <v>1</v>
      </c>
      <c r="P9" s="74">
        <v>2</v>
      </c>
      <c r="Q9" s="74">
        <v>2</v>
      </c>
      <c r="R9" s="74">
        <f t="shared" si="1"/>
        <v>12</v>
      </c>
    </row>
    <row r="10" spans="1:18" ht="72" x14ac:dyDescent="0.25">
      <c r="A10" s="63" t="s">
        <v>131</v>
      </c>
      <c r="B10" s="64" t="s">
        <v>34</v>
      </c>
      <c r="C10" s="64" t="s">
        <v>132</v>
      </c>
      <c r="D10" s="64" t="s">
        <v>133</v>
      </c>
      <c r="E10" s="64" t="s">
        <v>134</v>
      </c>
      <c r="F10" s="62" t="str">
        <f t="shared" si="0"/>
        <v>Mandatory</v>
      </c>
      <c r="G10" s="8" t="s">
        <v>373</v>
      </c>
      <c r="H10" s="27" t="s">
        <v>80</v>
      </c>
      <c r="I10" s="8" t="s">
        <v>374</v>
      </c>
      <c r="J10" s="8" t="s">
        <v>375</v>
      </c>
      <c r="K10" s="27"/>
      <c r="L10" s="21"/>
      <c r="M10" s="74">
        <v>1</v>
      </c>
      <c r="N10" s="74">
        <v>1</v>
      </c>
      <c r="O10" s="74">
        <v>1</v>
      </c>
      <c r="P10" s="74">
        <v>3</v>
      </c>
      <c r="Q10" s="74">
        <v>3</v>
      </c>
      <c r="R10" s="74">
        <f t="shared" si="1"/>
        <v>18</v>
      </c>
    </row>
    <row r="11" spans="1:18" ht="72" x14ac:dyDescent="0.25">
      <c r="A11" s="63" t="s">
        <v>135</v>
      </c>
      <c r="B11" s="64" t="s">
        <v>34</v>
      </c>
      <c r="C11" s="64" t="s">
        <v>369</v>
      </c>
      <c r="D11" s="64" t="s">
        <v>136</v>
      </c>
      <c r="E11" s="64" t="s">
        <v>137</v>
      </c>
      <c r="F11" s="62" t="str">
        <f t="shared" si="0"/>
        <v>Mandatory</v>
      </c>
      <c r="G11" s="8" t="s">
        <v>376</v>
      </c>
      <c r="H11" s="27" t="s">
        <v>80</v>
      </c>
      <c r="I11" s="8" t="s">
        <v>377</v>
      </c>
      <c r="J11" s="8" t="s">
        <v>378</v>
      </c>
      <c r="K11" s="27"/>
      <c r="L11" s="21"/>
      <c r="M11" s="74">
        <v>1</v>
      </c>
      <c r="N11" s="74">
        <v>1</v>
      </c>
      <c r="O11" s="74">
        <v>1</v>
      </c>
      <c r="P11" s="74">
        <v>3</v>
      </c>
      <c r="Q11" s="74">
        <v>3</v>
      </c>
      <c r="R11" s="74">
        <f t="shared" si="1"/>
        <v>18</v>
      </c>
    </row>
    <row r="12" spans="1:18" ht="84" x14ac:dyDescent="0.25">
      <c r="A12" s="63" t="s">
        <v>138</v>
      </c>
      <c r="B12" s="64" t="s">
        <v>34</v>
      </c>
      <c r="C12" s="64" t="s">
        <v>139</v>
      </c>
      <c r="D12" s="64" t="s">
        <v>140</v>
      </c>
      <c r="E12" s="64" t="s">
        <v>141</v>
      </c>
      <c r="F12" s="62" t="str">
        <f t="shared" si="0"/>
        <v>Mandatory</v>
      </c>
      <c r="G12" s="8" t="s">
        <v>379</v>
      </c>
      <c r="H12" s="27" t="s">
        <v>80</v>
      </c>
      <c r="I12" s="8" t="s">
        <v>380</v>
      </c>
      <c r="J12" s="8" t="s">
        <v>381</v>
      </c>
      <c r="K12" s="27"/>
      <c r="L12" s="21"/>
      <c r="M12" s="74">
        <v>1</v>
      </c>
      <c r="N12" s="74">
        <v>1</v>
      </c>
      <c r="O12" s="74">
        <v>1</v>
      </c>
      <c r="P12" s="74">
        <v>3</v>
      </c>
      <c r="Q12" s="74">
        <v>3</v>
      </c>
      <c r="R12" s="74">
        <f t="shared" si="1"/>
        <v>18</v>
      </c>
    </row>
    <row r="13" spans="1:18" ht="36" x14ac:dyDescent="0.25">
      <c r="A13" s="63" t="s">
        <v>142</v>
      </c>
      <c r="B13" s="64" t="s">
        <v>34</v>
      </c>
      <c r="C13" s="64" t="s">
        <v>143</v>
      </c>
      <c r="D13" s="64" t="s">
        <v>144</v>
      </c>
      <c r="E13" s="64" t="s">
        <v>106</v>
      </c>
      <c r="F13" s="62" t="str">
        <f t="shared" si="0"/>
        <v>Mandatory</v>
      </c>
      <c r="G13" s="8" t="s">
        <v>382</v>
      </c>
      <c r="H13" s="27" t="s">
        <v>80</v>
      </c>
      <c r="I13" s="8" t="s">
        <v>383</v>
      </c>
      <c r="J13" s="8" t="s">
        <v>384</v>
      </c>
      <c r="K13" s="27"/>
      <c r="L13" s="21"/>
      <c r="M13" s="74">
        <v>1</v>
      </c>
      <c r="N13" s="74">
        <v>1</v>
      </c>
      <c r="O13" s="74">
        <v>0</v>
      </c>
      <c r="P13" s="74">
        <v>3</v>
      </c>
      <c r="Q13" s="74">
        <v>3</v>
      </c>
      <c r="R13" s="74">
        <f t="shared" si="1"/>
        <v>12</v>
      </c>
    </row>
    <row r="14" spans="1:18" s="16" customFormat="1" ht="80.45" customHeight="1" x14ac:dyDescent="0.25">
      <c r="A14" s="63" t="s">
        <v>145</v>
      </c>
      <c r="B14" s="64" t="s">
        <v>34</v>
      </c>
      <c r="C14" s="64" t="s">
        <v>146</v>
      </c>
      <c r="D14" s="64" t="s">
        <v>147</v>
      </c>
      <c r="E14" s="64" t="s">
        <v>106</v>
      </c>
      <c r="F14" s="62" t="str">
        <f t="shared" si="0"/>
        <v>Mandatory</v>
      </c>
      <c r="G14" s="8" t="s">
        <v>385</v>
      </c>
      <c r="H14" s="27" t="s">
        <v>80</v>
      </c>
      <c r="I14" s="8" t="s">
        <v>386</v>
      </c>
      <c r="J14" s="8" t="s">
        <v>387</v>
      </c>
      <c r="K14" s="27"/>
      <c r="L14" s="21"/>
      <c r="M14" s="74">
        <v>1</v>
      </c>
      <c r="N14" s="74">
        <v>1</v>
      </c>
      <c r="O14" s="74">
        <v>0</v>
      </c>
      <c r="P14" s="74">
        <v>3</v>
      </c>
      <c r="Q14" s="74">
        <v>0</v>
      </c>
      <c r="R14" s="74">
        <f t="shared" si="1"/>
        <v>6</v>
      </c>
    </row>
    <row r="15" spans="1:18" ht="60" x14ac:dyDescent="0.25">
      <c r="A15" s="63" t="s">
        <v>148</v>
      </c>
      <c r="B15" s="64" t="s">
        <v>34</v>
      </c>
      <c r="C15" s="64" t="s">
        <v>149</v>
      </c>
      <c r="D15" s="64" t="s">
        <v>150</v>
      </c>
      <c r="E15" s="64" t="s">
        <v>106</v>
      </c>
      <c r="F15" s="62" t="str">
        <f t="shared" si="0"/>
        <v>Mandatory</v>
      </c>
      <c r="G15" s="8"/>
      <c r="H15" s="27"/>
      <c r="I15" s="8"/>
      <c r="J15" s="8"/>
      <c r="K15" s="27"/>
      <c r="L15" s="21"/>
      <c r="M15" s="74">
        <v>1</v>
      </c>
      <c r="N15" s="74">
        <v>1</v>
      </c>
      <c r="O15" s="74">
        <v>0</v>
      </c>
      <c r="P15" s="74">
        <v>3</v>
      </c>
      <c r="Q15" s="74">
        <v>0</v>
      </c>
      <c r="R15" s="74">
        <f t="shared" si="1"/>
        <v>6</v>
      </c>
    </row>
    <row r="16" spans="1:18" ht="36" x14ac:dyDescent="0.25">
      <c r="A16" s="63" t="s">
        <v>151</v>
      </c>
      <c r="B16" s="64" t="s">
        <v>34</v>
      </c>
      <c r="C16" s="63" t="s">
        <v>368</v>
      </c>
      <c r="D16" s="64" t="s">
        <v>152</v>
      </c>
      <c r="E16" s="64" t="s">
        <v>106</v>
      </c>
      <c r="F16" s="62" t="str">
        <f t="shared" si="0"/>
        <v>Mandatory</v>
      </c>
      <c r="G16" s="8"/>
      <c r="H16" s="27"/>
      <c r="I16" s="8"/>
      <c r="J16" s="8"/>
      <c r="K16" s="27"/>
      <c r="L16" s="21"/>
      <c r="M16" s="74">
        <v>1</v>
      </c>
      <c r="N16" s="74">
        <v>1</v>
      </c>
      <c r="O16" s="74">
        <v>0</v>
      </c>
      <c r="P16" s="74">
        <v>3</v>
      </c>
      <c r="Q16" s="74">
        <v>0</v>
      </c>
      <c r="R16" s="74">
        <f t="shared" si="1"/>
        <v>6</v>
      </c>
    </row>
    <row r="17" spans="1:18" ht="24" x14ac:dyDescent="0.25">
      <c r="A17" s="63" t="s">
        <v>153</v>
      </c>
      <c r="B17" s="64" t="s">
        <v>34</v>
      </c>
      <c r="C17" s="63" t="s">
        <v>154</v>
      </c>
      <c r="D17" s="64" t="s">
        <v>155</v>
      </c>
      <c r="E17" s="64" t="s">
        <v>106</v>
      </c>
      <c r="F17" s="62" t="str">
        <f t="shared" si="0"/>
        <v>Mandatory</v>
      </c>
      <c r="G17" s="8"/>
      <c r="H17" s="27"/>
      <c r="I17" s="8"/>
      <c r="J17" s="8"/>
      <c r="K17" s="27"/>
      <c r="L17" s="21"/>
      <c r="M17" s="74">
        <v>1</v>
      </c>
      <c r="N17" s="74">
        <v>1</v>
      </c>
      <c r="O17" s="74">
        <v>0</v>
      </c>
      <c r="P17" s="74">
        <v>3</v>
      </c>
      <c r="Q17" s="74">
        <v>0</v>
      </c>
      <c r="R17" s="74">
        <f t="shared" si="1"/>
        <v>6</v>
      </c>
    </row>
    <row r="18" spans="1:18" ht="36" x14ac:dyDescent="0.25">
      <c r="A18" s="63" t="s">
        <v>156</v>
      </c>
      <c r="B18" s="64" t="s">
        <v>34</v>
      </c>
      <c r="C18" s="63" t="s">
        <v>157</v>
      </c>
      <c r="D18" s="64" t="s">
        <v>158</v>
      </c>
      <c r="E18" s="64" t="s">
        <v>159</v>
      </c>
      <c r="F18" s="62" t="str">
        <f t="shared" si="0"/>
        <v>Mandatory</v>
      </c>
      <c r="G18" s="8"/>
      <c r="H18" s="27"/>
      <c r="I18" s="8"/>
      <c r="J18" s="8"/>
      <c r="K18" s="27"/>
      <c r="L18" s="21"/>
      <c r="M18" s="74">
        <v>1</v>
      </c>
      <c r="N18" s="74">
        <v>1</v>
      </c>
      <c r="O18" s="74">
        <v>1</v>
      </c>
      <c r="P18" s="74">
        <v>3</v>
      </c>
      <c r="Q18" s="74">
        <v>0</v>
      </c>
      <c r="R18" s="74">
        <f t="shared" si="1"/>
        <v>9</v>
      </c>
    </row>
    <row r="19" spans="1:18" ht="36" x14ac:dyDescent="0.25">
      <c r="A19" s="63" t="s">
        <v>160</v>
      </c>
      <c r="B19" s="64" t="s">
        <v>34</v>
      </c>
      <c r="C19" s="63" t="s">
        <v>161</v>
      </c>
      <c r="D19" s="64" t="s">
        <v>162</v>
      </c>
      <c r="E19" s="64" t="s">
        <v>106</v>
      </c>
      <c r="F19" s="62" t="str">
        <f t="shared" si="0"/>
        <v>Mandatory</v>
      </c>
      <c r="G19" s="8"/>
      <c r="H19" s="27"/>
      <c r="I19" s="8"/>
      <c r="J19" s="8"/>
      <c r="K19" s="27"/>
      <c r="L19" s="21"/>
      <c r="M19" s="74">
        <v>1</v>
      </c>
      <c r="N19" s="74">
        <v>1</v>
      </c>
      <c r="O19" s="74">
        <v>1</v>
      </c>
      <c r="P19" s="74">
        <v>3</v>
      </c>
      <c r="Q19" s="74">
        <v>0</v>
      </c>
      <c r="R19" s="74">
        <f t="shared" si="1"/>
        <v>9</v>
      </c>
    </row>
    <row r="20" spans="1:18" ht="57.6" customHeight="1" x14ac:dyDescent="0.25">
      <c r="A20" s="63" t="s">
        <v>163</v>
      </c>
      <c r="B20" s="64" t="s">
        <v>34</v>
      </c>
      <c r="C20" s="63" t="s">
        <v>164</v>
      </c>
      <c r="D20" s="64" t="s">
        <v>165</v>
      </c>
      <c r="E20" s="64" t="s">
        <v>106</v>
      </c>
      <c r="F20" s="62" t="str">
        <f t="shared" si="0"/>
        <v>Mandatory</v>
      </c>
      <c r="G20" s="8"/>
      <c r="H20" s="27"/>
      <c r="I20" s="8"/>
      <c r="J20" s="8"/>
      <c r="K20" s="27"/>
      <c r="L20" s="21"/>
      <c r="M20" s="74">
        <v>1</v>
      </c>
      <c r="N20" s="74">
        <v>1</v>
      </c>
      <c r="O20" s="74">
        <v>0</v>
      </c>
      <c r="P20" s="74">
        <v>3</v>
      </c>
      <c r="Q20" s="74">
        <v>0</v>
      </c>
      <c r="R20" s="74">
        <f t="shared" si="1"/>
        <v>6</v>
      </c>
    </row>
    <row r="21" spans="1:18" ht="36" x14ac:dyDescent="0.25">
      <c r="A21" s="63" t="s">
        <v>166</v>
      </c>
      <c r="B21" s="64" t="s">
        <v>34</v>
      </c>
      <c r="C21" s="63" t="s">
        <v>167</v>
      </c>
      <c r="D21" s="64" t="s">
        <v>168</v>
      </c>
      <c r="E21" s="64" t="s">
        <v>106</v>
      </c>
      <c r="F21" s="62" t="str">
        <f t="shared" si="0"/>
        <v>Secondary</v>
      </c>
      <c r="G21" s="8"/>
      <c r="H21" s="27"/>
      <c r="I21" s="8"/>
      <c r="J21" s="8"/>
      <c r="K21" s="27"/>
      <c r="L21" s="21"/>
      <c r="M21" s="74">
        <v>0</v>
      </c>
      <c r="N21" s="74">
        <v>0</v>
      </c>
      <c r="O21" s="74">
        <v>1</v>
      </c>
      <c r="P21" s="74">
        <v>2</v>
      </c>
      <c r="Q21" s="74">
        <v>0</v>
      </c>
      <c r="R21" s="74">
        <f t="shared" si="1"/>
        <v>2</v>
      </c>
    </row>
    <row r="22" spans="1:18" ht="264" x14ac:dyDescent="0.25">
      <c r="A22" s="63" t="s">
        <v>169</v>
      </c>
      <c r="B22" s="64" t="s">
        <v>55</v>
      </c>
      <c r="C22" s="63" t="s">
        <v>170</v>
      </c>
      <c r="D22" s="64" t="s">
        <v>171</v>
      </c>
      <c r="E22" s="64" t="s">
        <v>172</v>
      </c>
      <c r="F22" s="62" t="str">
        <f t="shared" si="0"/>
        <v>Mandatory</v>
      </c>
      <c r="G22" s="8"/>
      <c r="H22" s="27"/>
      <c r="I22" s="8"/>
      <c r="J22" s="8"/>
      <c r="K22" s="27"/>
      <c r="L22" s="21"/>
      <c r="M22" s="74">
        <v>1</v>
      </c>
      <c r="N22" s="74">
        <v>1</v>
      </c>
      <c r="O22" s="74">
        <v>1</v>
      </c>
      <c r="P22" s="74">
        <v>3</v>
      </c>
      <c r="Q22" s="74">
        <v>0</v>
      </c>
      <c r="R22" s="74">
        <f t="shared" si="1"/>
        <v>9</v>
      </c>
    </row>
    <row r="23" spans="1:18" ht="24" x14ac:dyDescent="0.25">
      <c r="A23" s="63" t="s">
        <v>173</v>
      </c>
      <c r="B23" s="64" t="s">
        <v>55</v>
      </c>
      <c r="C23" s="63" t="s">
        <v>174</v>
      </c>
      <c r="D23" s="64" t="s">
        <v>175</v>
      </c>
      <c r="E23" s="64" t="s">
        <v>176</v>
      </c>
      <c r="F23" s="62" t="str">
        <f t="shared" si="0"/>
        <v>Mandatory</v>
      </c>
      <c r="G23" s="8"/>
      <c r="H23" s="27"/>
      <c r="I23" s="8"/>
      <c r="J23" s="8"/>
      <c r="K23" s="27"/>
      <c r="L23" s="21"/>
      <c r="M23" s="74">
        <v>0</v>
      </c>
      <c r="N23" s="74">
        <v>1</v>
      </c>
      <c r="O23" s="74">
        <v>1</v>
      </c>
      <c r="P23" s="74">
        <v>3</v>
      </c>
      <c r="Q23" s="74">
        <v>0</v>
      </c>
      <c r="R23" s="74">
        <f t="shared" si="1"/>
        <v>6</v>
      </c>
    </row>
    <row r="24" spans="1:18" ht="126.6" customHeight="1" x14ac:dyDescent="0.25">
      <c r="A24" s="63" t="s">
        <v>177</v>
      </c>
      <c r="B24" s="64" t="s">
        <v>55</v>
      </c>
      <c r="C24" s="63" t="s">
        <v>178</v>
      </c>
      <c r="D24" s="64" t="s">
        <v>179</v>
      </c>
      <c r="E24" s="64" t="s">
        <v>176</v>
      </c>
      <c r="F24" s="62" t="str">
        <f t="shared" si="0"/>
        <v>Mandatory</v>
      </c>
      <c r="G24" s="8"/>
      <c r="H24" s="27"/>
      <c r="I24" s="8"/>
      <c r="J24" s="8"/>
      <c r="K24" s="27"/>
      <c r="L24" s="21"/>
      <c r="M24" s="74">
        <v>1</v>
      </c>
      <c r="N24" s="74">
        <v>1</v>
      </c>
      <c r="O24" s="74">
        <v>1</v>
      </c>
      <c r="P24" s="74">
        <v>3</v>
      </c>
      <c r="Q24" s="74">
        <v>0</v>
      </c>
      <c r="R24" s="74">
        <f t="shared" si="1"/>
        <v>9</v>
      </c>
    </row>
    <row r="25" spans="1:18" ht="126.6" customHeight="1" x14ac:dyDescent="0.25">
      <c r="A25" s="63" t="s">
        <v>180</v>
      </c>
      <c r="B25" s="64" t="s">
        <v>55</v>
      </c>
      <c r="C25" s="63" t="s">
        <v>181</v>
      </c>
      <c r="D25" s="64" t="s">
        <v>182</v>
      </c>
      <c r="E25" s="64" t="s">
        <v>176</v>
      </c>
      <c r="F25" s="62" t="str">
        <f t="shared" si="0"/>
        <v>Mandatory</v>
      </c>
      <c r="G25" s="8"/>
      <c r="H25" s="27"/>
      <c r="I25" s="8"/>
      <c r="J25" s="8"/>
      <c r="K25" s="27"/>
      <c r="L25" s="21"/>
      <c r="M25" s="74">
        <v>1</v>
      </c>
      <c r="N25" s="74">
        <v>1</v>
      </c>
      <c r="O25" s="74">
        <v>0</v>
      </c>
      <c r="P25" s="74">
        <v>3</v>
      </c>
      <c r="Q25" s="74">
        <v>3</v>
      </c>
      <c r="R25" s="74">
        <f t="shared" si="1"/>
        <v>12</v>
      </c>
    </row>
    <row r="26" spans="1:18" ht="172.5" customHeight="1" x14ac:dyDescent="0.25">
      <c r="A26" s="63" t="s">
        <v>183</v>
      </c>
      <c r="B26" s="64" t="s">
        <v>49</v>
      </c>
      <c r="C26" s="63" t="s">
        <v>184</v>
      </c>
      <c r="D26" s="64" t="s">
        <v>185</v>
      </c>
      <c r="E26" s="64" t="s">
        <v>106</v>
      </c>
      <c r="F26" s="62" t="str">
        <f t="shared" si="0"/>
        <v>Mandatory</v>
      </c>
      <c r="G26" s="8"/>
      <c r="H26" s="27"/>
      <c r="I26" s="8"/>
      <c r="J26" s="8"/>
      <c r="K26" s="27"/>
      <c r="L26" s="21"/>
      <c r="M26" s="74">
        <v>1</v>
      </c>
      <c r="N26" s="74">
        <v>1</v>
      </c>
      <c r="O26" s="74">
        <v>0</v>
      </c>
      <c r="P26" s="74">
        <v>3</v>
      </c>
      <c r="Q26" s="74">
        <v>0</v>
      </c>
      <c r="R26" s="74">
        <f t="shared" si="1"/>
        <v>6</v>
      </c>
    </row>
    <row r="27" spans="1:18" ht="138" customHeight="1" x14ac:dyDescent="0.25">
      <c r="A27" s="63" t="s">
        <v>186</v>
      </c>
      <c r="B27" s="64" t="s">
        <v>49</v>
      </c>
      <c r="C27" s="64" t="s">
        <v>187</v>
      </c>
      <c r="D27" s="64" t="s">
        <v>188</v>
      </c>
      <c r="E27" s="64" t="s">
        <v>106</v>
      </c>
      <c r="F27" s="62" t="str">
        <f t="shared" si="0"/>
        <v>Mandatory</v>
      </c>
      <c r="G27" s="8"/>
      <c r="H27" s="27"/>
      <c r="I27" s="8"/>
      <c r="J27" s="8"/>
      <c r="K27" s="27"/>
      <c r="L27" s="21"/>
      <c r="M27" s="74">
        <v>1</v>
      </c>
      <c r="N27" s="74">
        <v>1</v>
      </c>
      <c r="O27" s="74">
        <v>1</v>
      </c>
      <c r="P27" s="74">
        <v>3</v>
      </c>
      <c r="Q27" s="74">
        <v>0</v>
      </c>
      <c r="R27" s="74">
        <f t="shared" si="1"/>
        <v>9</v>
      </c>
    </row>
    <row r="28" spans="1:18" ht="92.1" customHeight="1" x14ac:dyDescent="0.25">
      <c r="A28" s="63" t="s">
        <v>189</v>
      </c>
      <c r="B28" s="64" t="s">
        <v>49</v>
      </c>
      <c r="C28" s="64" t="s">
        <v>190</v>
      </c>
      <c r="D28" s="64" t="s">
        <v>191</v>
      </c>
      <c r="E28" s="64" t="s">
        <v>106</v>
      </c>
      <c r="F28" s="62" t="str">
        <f t="shared" si="0"/>
        <v>Mandatory</v>
      </c>
      <c r="G28" s="8"/>
      <c r="H28" s="27"/>
      <c r="I28" s="8"/>
      <c r="J28" s="8"/>
      <c r="K28" s="27"/>
      <c r="L28" s="21"/>
      <c r="M28" s="74">
        <v>1</v>
      </c>
      <c r="N28" s="74">
        <v>1</v>
      </c>
      <c r="O28" s="74">
        <v>1</v>
      </c>
      <c r="P28" s="74">
        <v>3</v>
      </c>
      <c r="Q28" s="74">
        <v>3</v>
      </c>
      <c r="R28" s="74">
        <f t="shared" si="1"/>
        <v>18</v>
      </c>
    </row>
    <row r="29" spans="1:18" ht="92.1" customHeight="1" x14ac:dyDescent="0.25">
      <c r="A29" s="63" t="s">
        <v>192</v>
      </c>
      <c r="B29" s="64" t="s">
        <v>49</v>
      </c>
      <c r="C29" s="64" t="s">
        <v>193</v>
      </c>
      <c r="D29" s="64" t="s">
        <v>194</v>
      </c>
      <c r="E29" s="64" t="s">
        <v>106</v>
      </c>
      <c r="F29" s="62" t="str">
        <f t="shared" si="0"/>
        <v>Mandatory</v>
      </c>
      <c r="G29" s="8"/>
      <c r="H29" s="27"/>
      <c r="I29" s="8"/>
      <c r="J29" s="8"/>
      <c r="K29" s="27"/>
      <c r="L29" s="21"/>
      <c r="M29" s="74">
        <v>1</v>
      </c>
      <c r="N29" s="74">
        <v>1</v>
      </c>
      <c r="O29" s="74">
        <v>0</v>
      </c>
      <c r="P29" s="74">
        <v>3</v>
      </c>
      <c r="Q29" s="74">
        <v>0</v>
      </c>
      <c r="R29" s="74">
        <f t="shared" si="1"/>
        <v>6</v>
      </c>
    </row>
    <row r="30" spans="1:18" ht="218.45" customHeight="1" x14ac:dyDescent="0.25">
      <c r="A30" s="63" t="s">
        <v>195</v>
      </c>
      <c r="B30" s="64" t="s">
        <v>49</v>
      </c>
      <c r="C30" s="63" t="s">
        <v>196</v>
      </c>
      <c r="D30" s="63" t="s">
        <v>197</v>
      </c>
      <c r="E30" s="64" t="s">
        <v>106</v>
      </c>
      <c r="F30" s="62" t="str">
        <f t="shared" si="0"/>
        <v>Mandatory</v>
      </c>
      <c r="G30" s="8"/>
      <c r="H30" s="27"/>
      <c r="I30" s="8"/>
      <c r="J30" s="8"/>
      <c r="K30" s="27"/>
      <c r="L30" s="21"/>
      <c r="M30" s="74">
        <v>1</v>
      </c>
      <c r="N30" s="74">
        <v>1</v>
      </c>
      <c r="O30" s="74">
        <v>1</v>
      </c>
      <c r="P30" s="74">
        <v>3</v>
      </c>
      <c r="Q30" s="74">
        <v>0</v>
      </c>
      <c r="R30" s="74">
        <f t="shared" si="1"/>
        <v>9</v>
      </c>
    </row>
    <row r="31" spans="1:18" ht="92.1" customHeight="1" x14ac:dyDescent="0.25">
      <c r="A31" s="63" t="s">
        <v>198</v>
      </c>
      <c r="B31" s="63" t="s">
        <v>43</v>
      </c>
      <c r="C31" s="63" t="s">
        <v>199</v>
      </c>
      <c r="D31" s="63" t="s">
        <v>200</v>
      </c>
      <c r="E31" s="64" t="s">
        <v>106</v>
      </c>
      <c r="F31" s="62" t="str">
        <f t="shared" si="0"/>
        <v>Mandatory</v>
      </c>
      <c r="G31" s="8"/>
      <c r="H31" s="27"/>
      <c r="I31" s="8"/>
      <c r="J31" s="8"/>
      <c r="K31" s="27"/>
      <c r="L31" s="21"/>
      <c r="M31" s="74">
        <v>1</v>
      </c>
      <c r="N31" s="74">
        <v>1</v>
      </c>
      <c r="O31" s="74">
        <v>1</v>
      </c>
      <c r="P31" s="74">
        <v>3</v>
      </c>
      <c r="Q31" s="74">
        <v>3</v>
      </c>
      <c r="R31" s="74">
        <f t="shared" si="1"/>
        <v>18</v>
      </c>
    </row>
    <row r="32" spans="1:18" ht="92.1" customHeight="1" x14ac:dyDescent="0.25">
      <c r="A32" s="63" t="s">
        <v>201</v>
      </c>
      <c r="B32" s="63" t="s">
        <v>43</v>
      </c>
      <c r="C32" s="63" t="s">
        <v>202</v>
      </c>
      <c r="D32" s="63" t="s">
        <v>203</v>
      </c>
      <c r="E32" s="64" t="s">
        <v>106</v>
      </c>
      <c r="F32" s="62" t="str">
        <f t="shared" si="0"/>
        <v>Mandatory</v>
      </c>
      <c r="G32" s="8"/>
      <c r="H32" s="27"/>
      <c r="I32" s="8"/>
      <c r="J32" s="8"/>
      <c r="K32" s="27"/>
      <c r="L32" s="21"/>
      <c r="M32" s="74">
        <v>1</v>
      </c>
      <c r="N32" s="74">
        <v>1</v>
      </c>
      <c r="O32" s="74">
        <v>1</v>
      </c>
      <c r="P32" s="74">
        <v>3</v>
      </c>
      <c r="Q32" s="74">
        <v>3</v>
      </c>
      <c r="R32" s="74">
        <f t="shared" si="1"/>
        <v>18</v>
      </c>
    </row>
    <row r="33" spans="1:18" ht="92.1" customHeight="1" x14ac:dyDescent="0.25">
      <c r="A33" s="63" t="s">
        <v>204</v>
      </c>
      <c r="B33" s="63" t="s">
        <v>43</v>
      </c>
      <c r="C33" s="63" t="s">
        <v>205</v>
      </c>
      <c r="D33" s="63" t="s">
        <v>206</v>
      </c>
      <c r="E33" s="64" t="s">
        <v>106</v>
      </c>
      <c r="F33" s="62" t="str">
        <f t="shared" si="0"/>
        <v>Mandatory</v>
      </c>
      <c r="G33" s="8"/>
      <c r="H33" s="27"/>
      <c r="I33" s="8"/>
      <c r="J33" s="8"/>
      <c r="K33" s="27"/>
      <c r="L33" s="21"/>
      <c r="M33" s="74">
        <v>1</v>
      </c>
      <c r="N33" s="74">
        <v>1</v>
      </c>
      <c r="O33" s="74">
        <v>0</v>
      </c>
      <c r="P33" s="74">
        <v>3</v>
      </c>
      <c r="Q33" s="74">
        <v>3</v>
      </c>
      <c r="R33" s="74">
        <f t="shared" si="1"/>
        <v>12</v>
      </c>
    </row>
    <row r="34" spans="1:18" ht="390.95" customHeight="1" x14ac:dyDescent="0.25">
      <c r="A34" s="63" t="s">
        <v>207</v>
      </c>
      <c r="B34" s="63" t="s">
        <v>43</v>
      </c>
      <c r="C34" s="63" t="s">
        <v>208</v>
      </c>
      <c r="D34" s="63" t="s">
        <v>209</v>
      </c>
      <c r="E34" s="64" t="s">
        <v>106</v>
      </c>
      <c r="F34" s="62" t="str">
        <f t="shared" si="0"/>
        <v>Mandatory</v>
      </c>
      <c r="G34" s="8"/>
      <c r="H34" s="27"/>
      <c r="I34" s="8"/>
      <c r="J34" s="8"/>
      <c r="K34" s="27"/>
      <c r="L34" s="21"/>
      <c r="M34" s="74">
        <v>1</v>
      </c>
      <c r="N34" s="74">
        <v>1</v>
      </c>
      <c r="O34" s="74">
        <v>1</v>
      </c>
      <c r="P34" s="74">
        <v>3</v>
      </c>
      <c r="Q34" s="74">
        <v>3</v>
      </c>
      <c r="R34" s="74">
        <f t="shared" si="1"/>
        <v>18</v>
      </c>
    </row>
    <row r="35" spans="1:18" ht="69" customHeight="1" x14ac:dyDescent="0.25">
      <c r="A35" s="63" t="s">
        <v>210</v>
      </c>
      <c r="B35" s="63" t="s">
        <v>46</v>
      </c>
      <c r="C35" s="63" t="s">
        <v>211</v>
      </c>
      <c r="D35" s="63" t="s">
        <v>212</v>
      </c>
      <c r="E35" s="64" t="s">
        <v>106</v>
      </c>
      <c r="F35" s="62" t="str">
        <f t="shared" si="0"/>
        <v>Mandatory</v>
      </c>
      <c r="G35" s="8"/>
      <c r="H35" s="27"/>
      <c r="I35" s="8"/>
      <c r="J35" s="8"/>
      <c r="K35" s="27"/>
      <c r="L35" s="21"/>
      <c r="M35" s="74">
        <v>1</v>
      </c>
      <c r="N35" s="74">
        <v>1</v>
      </c>
      <c r="O35" s="74">
        <v>1</v>
      </c>
      <c r="P35" s="74">
        <v>3</v>
      </c>
      <c r="Q35" s="74">
        <v>3</v>
      </c>
      <c r="R35" s="74">
        <f t="shared" si="1"/>
        <v>18</v>
      </c>
    </row>
    <row r="36" spans="1:18" ht="103.5" customHeight="1" x14ac:dyDescent="0.25">
      <c r="A36" s="63" t="s">
        <v>213</v>
      </c>
      <c r="B36" s="63" t="s">
        <v>46</v>
      </c>
      <c r="C36" s="63" t="s">
        <v>214</v>
      </c>
      <c r="D36" s="63" t="s">
        <v>215</v>
      </c>
      <c r="E36" s="64" t="s">
        <v>106</v>
      </c>
      <c r="F36" s="62" t="str">
        <f t="shared" si="0"/>
        <v>Mandatory</v>
      </c>
      <c r="G36" s="8"/>
      <c r="H36" s="27"/>
      <c r="I36" s="8"/>
      <c r="J36" s="8"/>
      <c r="K36" s="27"/>
      <c r="L36" s="21"/>
      <c r="M36" s="74">
        <v>1</v>
      </c>
      <c r="N36" s="74">
        <v>1</v>
      </c>
      <c r="O36" s="74">
        <v>1</v>
      </c>
      <c r="P36" s="74">
        <v>3</v>
      </c>
      <c r="Q36" s="74">
        <v>3</v>
      </c>
      <c r="R36" s="74">
        <f t="shared" si="1"/>
        <v>18</v>
      </c>
    </row>
    <row r="37" spans="1:18" ht="69" customHeight="1" x14ac:dyDescent="0.25">
      <c r="A37" s="63" t="s">
        <v>216</v>
      </c>
      <c r="B37" s="63" t="s">
        <v>46</v>
      </c>
      <c r="C37" s="63" t="s">
        <v>217</v>
      </c>
      <c r="D37" s="63" t="s">
        <v>218</v>
      </c>
      <c r="E37" s="64" t="s">
        <v>106</v>
      </c>
      <c r="F37" s="62" t="str">
        <f t="shared" si="0"/>
        <v>Mandatory</v>
      </c>
      <c r="G37" s="8"/>
      <c r="H37" s="27"/>
      <c r="I37" s="8"/>
      <c r="J37" s="8"/>
      <c r="K37" s="27"/>
      <c r="L37" s="21"/>
      <c r="M37" s="74">
        <v>1</v>
      </c>
      <c r="N37" s="74">
        <v>1</v>
      </c>
      <c r="O37" s="74">
        <v>1</v>
      </c>
      <c r="P37" s="74">
        <v>3</v>
      </c>
      <c r="Q37" s="74">
        <v>3</v>
      </c>
      <c r="R37" s="74">
        <f t="shared" si="1"/>
        <v>18</v>
      </c>
    </row>
    <row r="38" spans="1:18" ht="92.1" customHeight="1" x14ac:dyDescent="0.25">
      <c r="A38" s="63" t="s">
        <v>219</v>
      </c>
      <c r="B38" s="63" t="s">
        <v>46</v>
      </c>
      <c r="C38" s="63" t="s">
        <v>220</v>
      </c>
      <c r="D38" s="63" t="s">
        <v>221</v>
      </c>
      <c r="E38" s="64" t="s">
        <v>106</v>
      </c>
      <c r="F38" s="62" t="str">
        <f t="shared" si="0"/>
        <v>Mandatory</v>
      </c>
      <c r="G38" s="8"/>
      <c r="H38" s="27"/>
      <c r="I38" s="8"/>
      <c r="J38" s="8"/>
      <c r="K38" s="27"/>
      <c r="L38" s="21"/>
      <c r="M38" s="74">
        <v>1</v>
      </c>
      <c r="N38" s="74">
        <v>1</v>
      </c>
      <c r="O38" s="74">
        <v>1</v>
      </c>
      <c r="P38" s="74">
        <v>3</v>
      </c>
      <c r="Q38" s="74">
        <v>3</v>
      </c>
      <c r="R38" s="74">
        <f t="shared" si="1"/>
        <v>18</v>
      </c>
    </row>
    <row r="39" spans="1:18" ht="103.5" customHeight="1" x14ac:dyDescent="0.25">
      <c r="A39" s="63" t="s">
        <v>222</v>
      </c>
      <c r="B39" s="63" t="s">
        <v>40</v>
      </c>
      <c r="C39" s="63" t="s">
        <v>223</v>
      </c>
      <c r="D39" s="63" t="s">
        <v>224</v>
      </c>
      <c r="E39" s="64" t="s">
        <v>106</v>
      </c>
      <c r="F39" s="62" t="str">
        <f t="shared" si="0"/>
        <v>Mandatory</v>
      </c>
      <c r="G39" s="8"/>
      <c r="H39" s="27"/>
      <c r="I39" s="8"/>
      <c r="J39" s="8"/>
      <c r="K39" s="27"/>
      <c r="L39" s="21"/>
      <c r="M39" s="74">
        <v>1</v>
      </c>
      <c r="N39" s="74">
        <v>1</v>
      </c>
      <c r="O39" s="74">
        <v>1</v>
      </c>
      <c r="P39" s="74">
        <v>3</v>
      </c>
      <c r="Q39" s="74">
        <v>0</v>
      </c>
      <c r="R39" s="74">
        <f t="shared" si="1"/>
        <v>9</v>
      </c>
    </row>
    <row r="40" spans="1:18" ht="80.45" customHeight="1" x14ac:dyDescent="0.25">
      <c r="A40" s="63" t="s">
        <v>225</v>
      </c>
      <c r="B40" s="63" t="s">
        <v>52</v>
      </c>
      <c r="C40" s="63" t="s">
        <v>226</v>
      </c>
      <c r="D40" s="63" t="s">
        <v>227</v>
      </c>
      <c r="E40" s="64" t="s">
        <v>106</v>
      </c>
      <c r="F40" s="62" t="str">
        <f t="shared" si="0"/>
        <v>Mandatory</v>
      </c>
      <c r="G40" s="8"/>
      <c r="H40" s="27"/>
      <c r="I40" s="8"/>
      <c r="J40" s="8"/>
      <c r="K40" s="27"/>
      <c r="L40" s="21"/>
      <c r="M40" s="74">
        <v>1</v>
      </c>
      <c r="N40" s="74">
        <v>1</v>
      </c>
      <c r="O40" s="74">
        <v>0</v>
      </c>
      <c r="P40" s="74">
        <v>3</v>
      </c>
      <c r="Q40" s="74">
        <v>0</v>
      </c>
      <c r="R40" s="74">
        <f t="shared" si="1"/>
        <v>6</v>
      </c>
    </row>
    <row r="41" spans="1:18" ht="69" customHeight="1" x14ac:dyDescent="0.25">
      <c r="A41" s="63" t="s">
        <v>228</v>
      </c>
      <c r="B41" s="63" t="s">
        <v>52</v>
      </c>
      <c r="C41" s="63" t="s">
        <v>229</v>
      </c>
      <c r="D41" s="63" t="s">
        <v>230</v>
      </c>
      <c r="E41" s="64" t="s">
        <v>106</v>
      </c>
      <c r="F41" s="62" t="str">
        <f t="shared" si="0"/>
        <v>Mandatory</v>
      </c>
      <c r="G41" s="8"/>
      <c r="H41" s="27"/>
      <c r="I41" s="8"/>
      <c r="J41" s="8"/>
      <c r="K41" s="27"/>
      <c r="L41" s="21"/>
      <c r="M41" s="74">
        <v>1</v>
      </c>
      <c r="N41" s="74">
        <v>1</v>
      </c>
      <c r="O41" s="74">
        <v>1</v>
      </c>
      <c r="P41" s="74">
        <v>3</v>
      </c>
      <c r="Q41" s="74">
        <v>3</v>
      </c>
      <c r="R41" s="74">
        <f t="shared" si="1"/>
        <v>18</v>
      </c>
    </row>
    <row r="42" spans="1:18" ht="114.95" customHeight="1" x14ac:dyDescent="0.25">
      <c r="A42" s="63" t="s">
        <v>231</v>
      </c>
      <c r="B42" s="63" t="s">
        <v>37</v>
      </c>
      <c r="C42" s="63" t="s">
        <v>232</v>
      </c>
      <c r="D42" s="63" t="s">
        <v>233</v>
      </c>
      <c r="E42" s="63" t="s">
        <v>176</v>
      </c>
      <c r="F42" s="62" t="str">
        <f t="shared" si="0"/>
        <v>Mandatory</v>
      </c>
      <c r="G42" s="8"/>
      <c r="H42" s="27"/>
      <c r="I42" s="8"/>
      <c r="J42" s="8"/>
      <c r="K42" s="27"/>
      <c r="L42" s="21"/>
      <c r="M42" s="74">
        <v>1</v>
      </c>
      <c r="N42" s="74">
        <v>1</v>
      </c>
      <c r="O42" s="74">
        <v>1</v>
      </c>
      <c r="P42" s="74">
        <v>3</v>
      </c>
      <c r="Q42" s="74">
        <v>3</v>
      </c>
      <c r="R42" s="74">
        <f t="shared" si="1"/>
        <v>18</v>
      </c>
    </row>
    <row r="43" spans="1:18" ht="69" customHeight="1" x14ac:dyDescent="0.25">
      <c r="A43" s="63" t="s">
        <v>234</v>
      </c>
      <c r="B43" s="63" t="s">
        <v>37</v>
      </c>
      <c r="C43" s="63" t="s">
        <v>235</v>
      </c>
      <c r="D43" s="63" t="s">
        <v>236</v>
      </c>
      <c r="E43" s="63" t="s">
        <v>176</v>
      </c>
      <c r="F43" s="62" t="str">
        <f t="shared" si="0"/>
        <v>Mandatory</v>
      </c>
      <c r="G43" s="8"/>
      <c r="H43" s="27"/>
      <c r="I43" s="8"/>
      <c r="J43" s="8"/>
      <c r="K43" s="27"/>
      <c r="L43" s="21"/>
      <c r="M43" s="74">
        <v>1</v>
      </c>
      <c r="N43" s="74">
        <v>1</v>
      </c>
      <c r="O43" s="74">
        <v>1</v>
      </c>
      <c r="P43" s="74">
        <v>3</v>
      </c>
      <c r="Q43" s="74">
        <v>3</v>
      </c>
      <c r="R43" s="74">
        <f t="shared" si="1"/>
        <v>18</v>
      </c>
    </row>
    <row r="44" spans="1:18" ht="126.6" customHeight="1" x14ac:dyDescent="0.25">
      <c r="A44" s="63" t="s">
        <v>237</v>
      </c>
      <c r="B44" s="63" t="s">
        <v>37</v>
      </c>
      <c r="C44" s="63" t="s">
        <v>238</v>
      </c>
      <c r="D44" s="63" t="s">
        <v>239</v>
      </c>
      <c r="E44" s="63" t="s">
        <v>176</v>
      </c>
      <c r="F44" s="62" t="str">
        <f t="shared" si="0"/>
        <v>Mandatory</v>
      </c>
      <c r="G44" s="8"/>
      <c r="H44" s="27"/>
      <c r="I44" s="8"/>
      <c r="J44" s="8"/>
      <c r="K44" s="27"/>
      <c r="L44" s="21"/>
      <c r="M44" s="74">
        <v>1</v>
      </c>
      <c r="N44" s="74">
        <v>1</v>
      </c>
      <c r="O44" s="74">
        <v>1</v>
      </c>
      <c r="P44" s="74">
        <v>3</v>
      </c>
      <c r="Q44" s="74">
        <v>3</v>
      </c>
      <c r="R44" s="74">
        <f t="shared" si="1"/>
        <v>18</v>
      </c>
    </row>
    <row r="45" spans="1:18" ht="80.45" customHeight="1" x14ac:dyDescent="0.25">
      <c r="A45" s="63" t="s">
        <v>240</v>
      </c>
      <c r="B45" s="63" t="s">
        <v>37</v>
      </c>
      <c r="C45" s="63" t="s">
        <v>241</v>
      </c>
      <c r="D45" s="63" t="s">
        <v>242</v>
      </c>
      <c r="E45" s="63" t="s">
        <v>176</v>
      </c>
      <c r="F45" s="62" t="str">
        <f t="shared" si="0"/>
        <v>Mandatory</v>
      </c>
      <c r="G45" s="8"/>
      <c r="H45" s="27"/>
      <c r="I45" s="8"/>
      <c r="J45" s="8"/>
      <c r="K45" s="27"/>
      <c r="L45" s="21"/>
      <c r="M45" s="74">
        <v>1</v>
      </c>
      <c r="N45" s="74">
        <v>1</v>
      </c>
      <c r="O45" s="74">
        <v>0</v>
      </c>
      <c r="P45" s="74">
        <v>3</v>
      </c>
      <c r="Q45" s="74">
        <v>0</v>
      </c>
      <c r="R45" s="74">
        <f t="shared" si="1"/>
        <v>6</v>
      </c>
    </row>
    <row r="46" spans="1:18" ht="24" x14ac:dyDescent="0.25">
      <c r="A46" s="63" t="s">
        <v>243</v>
      </c>
      <c r="B46" s="63" t="s">
        <v>37</v>
      </c>
      <c r="C46" s="63" t="s">
        <v>244</v>
      </c>
      <c r="D46" s="63" t="s">
        <v>245</v>
      </c>
      <c r="E46" s="63" t="s">
        <v>176</v>
      </c>
      <c r="F46" s="62" t="str">
        <f t="shared" si="0"/>
        <v>Mandatory</v>
      </c>
      <c r="G46" s="8"/>
      <c r="H46" s="27"/>
      <c r="I46" s="8"/>
      <c r="J46" s="8"/>
      <c r="K46" s="27"/>
      <c r="L46" s="21"/>
      <c r="M46" s="74">
        <v>1</v>
      </c>
      <c r="N46" s="74">
        <v>1</v>
      </c>
      <c r="O46" s="74">
        <v>1</v>
      </c>
      <c r="P46" s="74">
        <v>3</v>
      </c>
      <c r="Q46" s="74">
        <v>0</v>
      </c>
      <c r="R46" s="74">
        <f t="shared" si="1"/>
        <v>9</v>
      </c>
    </row>
    <row r="47" spans="1:18" ht="138" customHeight="1" x14ac:dyDescent="0.25">
      <c r="A47" s="63" t="s">
        <v>246</v>
      </c>
      <c r="B47" s="63" t="s">
        <v>58</v>
      </c>
      <c r="C47" s="63" t="s">
        <v>247</v>
      </c>
      <c r="D47" s="63" t="s">
        <v>248</v>
      </c>
      <c r="E47" s="63" t="s">
        <v>106</v>
      </c>
      <c r="F47" s="62" t="str">
        <f t="shared" si="0"/>
        <v>Mandatory</v>
      </c>
      <c r="G47" s="8"/>
      <c r="H47" s="27"/>
      <c r="I47" s="8"/>
      <c r="J47" s="8"/>
      <c r="K47" s="27"/>
      <c r="L47" s="21"/>
      <c r="M47" s="74">
        <v>1</v>
      </c>
      <c r="N47" s="74">
        <v>1</v>
      </c>
      <c r="O47" s="74">
        <v>1</v>
      </c>
      <c r="P47" s="74">
        <v>3</v>
      </c>
      <c r="Q47" s="74">
        <v>3</v>
      </c>
      <c r="R47" s="74">
        <f t="shared" si="1"/>
        <v>18</v>
      </c>
    </row>
    <row r="48" spans="1:18" ht="69" customHeight="1" x14ac:dyDescent="0.25">
      <c r="A48" s="63" t="s">
        <v>249</v>
      </c>
      <c r="B48" s="63" t="s">
        <v>58</v>
      </c>
      <c r="C48" s="63" t="s">
        <v>250</v>
      </c>
      <c r="D48" s="63" t="s">
        <v>251</v>
      </c>
      <c r="E48" s="63" t="s">
        <v>106</v>
      </c>
      <c r="F48" s="62" t="str">
        <f t="shared" si="0"/>
        <v>Mandatory</v>
      </c>
      <c r="G48" s="8"/>
      <c r="H48" s="27"/>
      <c r="I48" s="8"/>
      <c r="J48" s="8"/>
      <c r="K48" s="27"/>
      <c r="L48" s="21"/>
      <c r="M48" s="74">
        <v>1</v>
      </c>
      <c r="N48" s="74">
        <v>1</v>
      </c>
      <c r="O48" s="74">
        <v>1</v>
      </c>
      <c r="P48" s="74">
        <v>3</v>
      </c>
      <c r="Q48" s="74">
        <v>0</v>
      </c>
      <c r="R48" s="74">
        <f t="shared" si="1"/>
        <v>9</v>
      </c>
    </row>
    <row r="49" spans="1:18" ht="60" x14ac:dyDescent="0.25">
      <c r="A49" s="63" t="s">
        <v>252</v>
      </c>
      <c r="B49" s="63" t="s">
        <v>58</v>
      </c>
      <c r="C49" s="63" t="s">
        <v>253</v>
      </c>
      <c r="D49" s="63" t="s">
        <v>254</v>
      </c>
      <c r="E49" s="63" t="s">
        <v>106</v>
      </c>
      <c r="F49" s="62" t="str">
        <f t="shared" si="0"/>
        <v>Mandatory</v>
      </c>
      <c r="G49" s="8"/>
      <c r="H49" s="27"/>
      <c r="I49" s="8"/>
      <c r="J49" s="8"/>
      <c r="K49" s="27"/>
      <c r="L49" s="21"/>
      <c r="M49" s="74">
        <v>1</v>
      </c>
      <c r="N49" s="74">
        <v>1</v>
      </c>
      <c r="O49" s="74">
        <v>0</v>
      </c>
      <c r="P49" s="74">
        <v>3</v>
      </c>
      <c r="Q49" s="74">
        <v>0</v>
      </c>
      <c r="R49" s="74">
        <f t="shared" si="1"/>
        <v>6</v>
      </c>
    </row>
    <row r="50" spans="1:18" ht="24" x14ac:dyDescent="0.25">
      <c r="A50" s="63" t="s">
        <v>255</v>
      </c>
      <c r="B50" s="63" t="s">
        <v>61</v>
      </c>
      <c r="C50" s="63" t="s">
        <v>256</v>
      </c>
      <c r="D50" s="63" t="s">
        <v>257</v>
      </c>
      <c r="E50" s="63" t="s">
        <v>106</v>
      </c>
      <c r="F50" s="62" t="str">
        <f t="shared" si="0"/>
        <v>Mandatory</v>
      </c>
      <c r="G50" s="8"/>
      <c r="H50" s="27"/>
      <c r="I50" s="8"/>
      <c r="J50" s="8"/>
      <c r="K50" s="27"/>
      <c r="L50" s="21"/>
      <c r="M50" s="74">
        <v>1</v>
      </c>
      <c r="N50" s="74">
        <v>1</v>
      </c>
      <c r="O50" s="74">
        <v>1</v>
      </c>
      <c r="P50" s="74">
        <v>3</v>
      </c>
      <c r="Q50" s="74">
        <v>3</v>
      </c>
      <c r="R50" s="74">
        <f t="shared" si="1"/>
        <v>18</v>
      </c>
    </row>
    <row r="51" spans="1:18" ht="24" x14ac:dyDescent="0.25">
      <c r="A51" s="63" t="s">
        <v>258</v>
      </c>
      <c r="B51" s="63" t="s">
        <v>61</v>
      </c>
      <c r="C51" s="63" t="s">
        <v>259</v>
      </c>
      <c r="D51" s="63" t="s">
        <v>260</v>
      </c>
      <c r="E51" s="63" t="s">
        <v>106</v>
      </c>
      <c r="F51" s="62" t="str">
        <f t="shared" si="0"/>
        <v>Mandatory</v>
      </c>
      <c r="G51" s="8"/>
      <c r="H51" s="27"/>
      <c r="I51" s="8"/>
      <c r="J51" s="8"/>
      <c r="K51" s="27"/>
      <c r="L51" s="21"/>
      <c r="M51" s="74">
        <v>1</v>
      </c>
      <c r="N51" s="74">
        <v>1</v>
      </c>
      <c r="O51" s="74">
        <v>1</v>
      </c>
      <c r="P51" s="74">
        <v>3</v>
      </c>
      <c r="Q51" s="74">
        <v>3</v>
      </c>
      <c r="R51" s="74">
        <f t="shared" si="1"/>
        <v>18</v>
      </c>
    </row>
    <row r="52" spans="1:18" ht="46.5" customHeight="1" x14ac:dyDescent="0.25">
      <c r="A52" s="63" t="s">
        <v>261</v>
      </c>
      <c r="B52" s="63" t="s">
        <v>61</v>
      </c>
      <c r="C52" s="66" t="s">
        <v>262</v>
      </c>
      <c r="D52" s="63" t="s">
        <v>263</v>
      </c>
      <c r="E52" s="63" t="s">
        <v>176</v>
      </c>
      <c r="F52" s="62" t="str">
        <f t="shared" si="0"/>
        <v>Mandatory</v>
      </c>
      <c r="G52" s="8"/>
      <c r="H52" s="27"/>
      <c r="I52" s="8"/>
      <c r="J52" s="8"/>
      <c r="K52" s="27"/>
      <c r="L52" s="21"/>
      <c r="M52" s="74">
        <v>1</v>
      </c>
      <c r="N52" s="74">
        <v>1</v>
      </c>
      <c r="O52" s="74">
        <v>1</v>
      </c>
      <c r="P52" s="74">
        <v>3</v>
      </c>
      <c r="Q52" s="74">
        <v>3</v>
      </c>
      <c r="R52" s="74">
        <f t="shared" si="1"/>
        <v>18</v>
      </c>
    </row>
    <row r="53" spans="1:18" ht="96" x14ac:dyDescent="0.25">
      <c r="A53" s="63" t="s">
        <v>264</v>
      </c>
      <c r="B53" s="63" t="s">
        <v>61</v>
      </c>
      <c r="C53" s="63" t="s">
        <v>265</v>
      </c>
      <c r="D53" s="63" t="s">
        <v>266</v>
      </c>
      <c r="E53" s="63" t="s">
        <v>106</v>
      </c>
      <c r="F53" s="62" t="str">
        <f t="shared" si="0"/>
        <v>Mandatory</v>
      </c>
      <c r="G53" s="8"/>
      <c r="H53" s="27"/>
      <c r="I53" s="8"/>
      <c r="J53" s="8"/>
      <c r="K53" s="27"/>
      <c r="L53" s="21"/>
      <c r="M53" s="74">
        <v>1</v>
      </c>
      <c r="N53" s="74">
        <v>1</v>
      </c>
      <c r="O53" s="74">
        <v>0</v>
      </c>
      <c r="P53" s="74">
        <v>3</v>
      </c>
      <c r="Q53" s="74">
        <v>3</v>
      </c>
      <c r="R53" s="74">
        <f t="shared" si="1"/>
        <v>12</v>
      </c>
    </row>
    <row r="54" spans="1:18" ht="24" x14ac:dyDescent="0.25">
      <c r="A54" s="63" t="s">
        <v>267</v>
      </c>
      <c r="B54" s="63" t="s">
        <v>64</v>
      </c>
      <c r="C54" s="63" t="s">
        <v>268</v>
      </c>
      <c r="D54" s="63" t="s">
        <v>269</v>
      </c>
      <c r="E54" s="63" t="s">
        <v>106</v>
      </c>
      <c r="F54" s="62" t="str">
        <f t="shared" si="0"/>
        <v>Mandatory</v>
      </c>
      <c r="G54" s="8"/>
      <c r="H54" s="27"/>
      <c r="I54" s="8"/>
      <c r="J54" s="8"/>
      <c r="K54" s="27"/>
      <c r="L54" s="21"/>
      <c r="M54" s="74">
        <v>1</v>
      </c>
      <c r="N54" s="74">
        <v>1</v>
      </c>
      <c r="O54" s="74">
        <v>1</v>
      </c>
      <c r="P54" s="74">
        <v>3</v>
      </c>
      <c r="Q54" s="74">
        <v>3</v>
      </c>
      <c r="R54" s="74">
        <f t="shared" si="1"/>
        <v>18</v>
      </c>
    </row>
    <row r="55" spans="1:18" ht="24" x14ac:dyDescent="0.25">
      <c r="A55" s="63" t="s">
        <v>270</v>
      </c>
      <c r="B55" s="63" t="s">
        <v>64</v>
      </c>
      <c r="C55" s="63" t="s">
        <v>271</v>
      </c>
      <c r="D55" s="63" t="s">
        <v>272</v>
      </c>
      <c r="E55" s="63" t="s">
        <v>106</v>
      </c>
      <c r="F55" s="62" t="str">
        <f t="shared" si="0"/>
        <v>Mandatory</v>
      </c>
      <c r="G55" s="8"/>
      <c r="H55" s="27"/>
      <c r="I55" s="8"/>
      <c r="J55" s="8"/>
      <c r="K55" s="27"/>
      <c r="L55" s="21"/>
      <c r="M55" s="74">
        <v>1</v>
      </c>
      <c r="N55" s="74">
        <v>1</v>
      </c>
      <c r="O55" s="74">
        <v>0</v>
      </c>
      <c r="P55" s="74">
        <v>3</v>
      </c>
      <c r="Q55" s="74">
        <v>0</v>
      </c>
      <c r="R55" s="74">
        <f t="shared" si="1"/>
        <v>6</v>
      </c>
    </row>
    <row r="56" spans="1:18" ht="103.5" customHeight="1" x14ac:dyDescent="0.25">
      <c r="A56" s="63" t="s">
        <v>273</v>
      </c>
      <c r="B56" s="63" t="s">
        <v>64</v>
      </c>
      <c r="C56" s="66" t="s">
        <v>271</v>
      </c>
      <c r="D56" s="63" t="s">
        <v>274</v>
      </c>
      <c r="E56" s="63" t="s">
        <v>106</v>
      </c>
      <c r="F56" s="62" t="str">
        <f t="shared" si="0"/>
        <v>Mandatory</v>
      </c>
      <c r="G56" s="8"/>
      <c r="H56" s="27"/>
      <c r="I56" s="8"/>
      <c r="J56" s="8"/>
      <c r="K56" s="27"/>
      <c r="L56" s="21"/>
      <c r="M56" s="74">
        <v>1</v>
      </c>
      <c r="N56" s="74">
        <v>1</v>
      </c>
      <c r="O56" s="74">
        <v>0</v>
      </c>
      <c r="P56" s="74">
        <v>3</v>
      </c>
      <c r="Q56" s="74">
        <v>0</v>
      </c>
      <c r="R56" s="74">
        <f t="shared" si="1"/>
        <v>6</v>
      </c>
    </row>
    <row r="57" spans="1:18" ht="24" x14ac:dyDescent="0.25">
      <c r="A57" s="63" t="s">
        <v>275</v>
      </c>
      <c r="B57" s="63" t="s">
        <v>64</v>
      </c>
      <c r="C57" s="66" t="s">
        <v>276</v>
      </c>
      <c r="D57" s="63" t="s">
        <v>277</v>
      </c>
      <c r="E57" s="63" t="s">
        <v>106</v>
      </c>
      <c r="F57" s="62" t="str">
        <f t="shared" si="0"/>
        <v>Mandatory</v>
      </c>
      <c r="G57" s="8"/>
      <c r="H57" s="27"/>
      <c r="I57" s="8"/>
      <c r="J57" s="8"/>
      <c r="K57" s="27"/>
      <c r="L57" s="21"/>
      <c r="M57" s="74">
        <v>1</v>
      </c>
      <c r="N57" s="74">
        <v>1</v>
      </c>
      <c r="O57" s="74">
        <v>1</v>
      </c>
      <c r="P57" s="74">
        <v>3</v>
      </c>
      <c r="Q57" s="74">
        <v>3</v>
      </c>
      <c r="R57" s="74">
        <f t="shared" si="1"/>
        <v>18</v>
      </c>
    </row>
    <row r="58" spans="1:18" ht="72" x14ac:dyDescent="0.25">
      <c r="A58" s="63" t="s">
        <v>278</v>
      </c>
      <c r="B58" s="63" t="s">
        <v>64</v>
      </c>
      <c r="C58" s="66" t="s">
        <v>279</v>
      </c>
      <c r="D58" s="63" t="s">
        <v>280</v>
      </c>
      <c r="E58" s="63" t="s">
        <v>106</v>
      </c>
      <c r="F58" s="62" t="str">
        <f t="shared" si="0"/>
        <v>Mandatory</v>
      </c>
      <c r="G58" s="8"/>
      <c r="H58" s="27"/>
      <c r="I58" s="8"/>
      <c r="J58" s="8"/>
      <c r="K58" s="27"/>
      <c r="L58" s="21"/>
      <c r="M58" s="74">
        <v>1</v>
      </c>
      <c r="N58" s="74">
        <v>1</v>
      </c>
      <c r="O58" s="74">
        <v>0</v>
      </c>
      <c r="P58" s="74">
        <v>3</v>
      </c>
      <c r="Q58" s="74">
        <v>0</v>
      </c>
      <c r="R58" s="74">
        <f t="shared" si="1"/>
        <v>6</v>
      </c>
    </row>
    <row r="59" spans="1:18" ht="36" x14ac:dyDescent="0.25">
      <c r="A59" s="63" t="s">
        <v>281</v>
      </c>
      <c r="B59" s="63" t="s">
        <v>64</v>
      </c>
      <c r="C59" s="66" t="s">
        <v>282</v>
      </c>
      <c r="D59" s="63" t="s">
        <v>283</v>
      </c>
      <c r="E59" s="63" t="s">
        <v>106</v>
      </c>
      <c r="F59" s="62" t="str">
        <f t="shared" si="0"/>
        <v>Mandatory</v>
      </c>
      <c r="G59" s="8"/>
      <c r="H59" s="27"/>
      <c r="I59" s="8"/>
      <c r="J59" s="8"/>
      <c r="K59" s="27"/>
      <c r="L59" s="21"/>
      <c r="M59" s="74">
        <v>1</v>
      </c>
      <c r="N59" s="74">
        <v>1</v>
      </c>
      <c r="O59" s="74">
        <v>1</v>
      </c>
      <c r="P59" s="74">
        <v>3</v>
      </c>
      <c r="Q59" s="74">
        <v>0</v>
      </c>
      <c r="R59" s="74">
        <f t="shared" si="1"/>
        <v>9</v>
      </c>
    </row>
    <row r="60" spans="1:18" ht="36" x14ac:dyDescent="0.25">
      <c r="A60" s="63" t="s">
        <v>284</v>
      </c>
      <c r="B60" s="63" t="s">
        <v>34</v>
      </c>
      <c r="C60" s="66" t="s">
        <v>285</v>
      </c>
      <c r="D60" s="63" t="s">
        <v>286</v>
      </c>
      <c r="E60" s="63" t="s">
        <v>106</v>
      </c>
      <c r="F60" s="62" t="str">
        <f t="shared" si="0"/>
        <v>Mandatory</v>
      </c>
      <c r="G60" s="8"/>
      <c r="H60" s="27"/>
      <c r="I60" s="8"/>
      <c r="J60" s="8"/>
      <c r="K60" s="27"/>
      <c r="L60" s="21"/>
      <c r="M60" s="74">
        <v>1</v>
      </c>
      <c r="N60" s="74">
        <v>1</v>
      </c>
      <c r="O60" s="74">
        <v>1</v>
      </c>
      <c r="P60" s="74">
        <v>3</v>
      </c>
      <c r="Q60" s="74">
        <v>3</v>
      </c>
      <c r="R60" s="74">
        <f t="shared" si="1"/>
        <v>18</v>
      </c>
    </row>
    <row r="61" spans="1:18" ht="36" x14ac:dyDescent="0.25">
      <c r="A61" s="63" t="s">
        <v>287</v>
      </c>
      <c r="B61" s="63" t="s">
        <v>288</v>
      </c>
      <c r="C61" s="66" t="s">
        <v>285</v>
      </c>
      <c r="D61" s="63" t="s">
        <v>289</v>
      </c>
      <c r="E61" s="63" t="s">
        <v>106</v>
      </c>
      <c r="F61" s="62" t="str">
        <f t="shared" si="0"/>
        <v>Mandatory</v>
      </c>
      <c r="G61" s="8"/>
      <c r="H61" s="27"/>
      <c r="I61" s="8"/>
      <c r="J61" s="8"/>
      <c r="K61" s="27"/>
      <c r="L61" s="21"/>
      <c r="M61" s="74">
        <v>1</v>
      </c>
      <c r="N61" s="74">
        <v>1</v>
      </c>
      <c r="O61" s="74">
        <v>1</v>
      </c>
      <c r="P61" s="74">
        <v>3</v>
      </c>
      <c r="Q61" s="74">
        <v>3</v>
      </c>
      <c r="R61" s="74">
        <f t="shared" si="1"/>
        <v>18</v>
      </c>
    </row>
    <row r="62" spans="1:18" x14ac:dyDescent="0.25">
      <c r="A62" s="15"/>
      <c r="B62" s="15"/>
      <c r="G62" s="15"/>
      <c r="H62" s="15"/>
      <c r="I62" s="15"/>
      <c r="J62" s="15"/>
    </row>
    <row r="63" spans="1:18" x14ac:dyDescent="0.25">
      <c r="A63" s="15"/>
      <c r="B63" s="15"/>
      <c r="G63" s="15"/>
      <c r="H63" s="15"/>
      <c r="I63" s="15"/>
      <c r="J63" s="15"/>
    </row>
    <row r="64" spans="1:18" x14ac:dyDescent="0.25">
      <c r="A64" s="15"/>
      <c r="B64" s="15"/>
      <c r="G64" s="15"/>
      <c r="H64" s="15"/>
      <c r="I64" s="15"/>
      <c r="J64" s="15"/>
    </row>
    <row r="65" s="15" customFormat="1" x14ac:dyDescent="0.25"/>
    <row r="66" s="15" customFormat="1" ht="69" customHeight="1" x14ac:dyDescent="0.25"/>
    <row r="67" s="15" customFormat="1" ht="126.6" customHeight="1" x14ac:dyDescent="0.25"/>
    <row r="68" s="15" customFormat="1" ht="183.95" customHeight="1" x14ac:dyDescent="0.25"/>
    <row r="69" s="15" customFormat="1" ht="80.45" customHeight="1" x14ac:dyDescent="0.25"/>
    <row r="70" s="15" customFormat="1" x14ac:dyDescent="0.25"/>
    <row r="71" s="15" customFormat="1" x14ac:dyDescent="0.25"/>
    <row r="72" s="15" customFormat="1" ht="69" customHeight="1" x14ac:dyDescent="0.25"/>
    <row r="73" s="15" customFormat="1" ht="80.45" customHeight="1" x14ac:dyDescent="0.25"/>
    <row r="74" s="15" customFormat="1" x14ac:dyDescent="0.25"/>
    <row r="75" s="15" customFormat="1" x14ac:dyDescent="0.25"/>
    <row r="76" s="15" customFormat="1" x14ac:dyDescent="0.25"/>
    <row r="77" s="15" customFormat="1" x14ac:dyDescent="0.25"/>
    <row r="78" s="15" customFormat="1" x14ac:dyDescent="0.25"/>
    <row r="79" s="15" customFormat="1" x14ac:dyDescent="0.25"/>
    <row r="80" s="15" customFormat="1" x14ac:dyDescent="0.25"/>
    <row r="81" s="15" customFormat="1" x14ac:dyDescent="0.25"/>
    <row r="82" s="15" customFormat="1" ht="69" customHeight="1" x14ac:dyDescent="0.25"/>
    <row r="83" s="15" customFormat="1" x14ac:dyDescent="0.25"/>
    <row r="84" s="15" customFormat="1" x14ac:dyDescent="0.25"/>
    <row r="85" s="15" customFormat="1" x14ac:dyDescent="0.25"/>
    <row r="86" s="15" customFormat="1" x14ac:dyDescent="0.25"/>
    <row r="87" s="15" customFormat="1" x14ac:dyDescent="0.25"/>
    <row r="88" s="15" customFormat="1" x14ac:dyDescent="0.25"/>
    <row r="89" s="15" customFormat="1" x14ac:dyDescent="0.25"/>
    <row r="90" s="15" customFormat="1" ht="172.5" customHeight="1" x14ac:dyDescent="0.25"/>
    <row r="91" s="15" customFormat="1" ht="103.5" customHeight="1" x14ac:dyDescent="0.25"/>
    <row r="92" s="15" customFormat="1" ht="69" customHeight="1" x14ac:dyDescent="0.25"/>
    <row r="93" s="15" customFormat="1" x14ac:dyDescent="0.25"/>
    <row r="94" s="15" customFormat="1" x14ac:dyDescent="0.25"/>
    <row r="95" s="15" customFormat="1" x14ac:dyDescent="0.25"/>
    <row r="96" s="15" customFormat="1" x14ac:dyDescent="0.25"/>
    <row r="97" s="15" customFormat="1" x14ac:dyDescent="0.25"/>
    <row r="98" s="15" customFormat="1" x14ac:dyDescent="0.25"/>
    <row r="99" s="15" customFormat="1" ht="138" customHeight="1" x14ac:dyDescent="0.25"/>
    <row r="100" s="15" customFormat="1" x14ac:dyDescent="0.25"/>
    <row r="101" s="15" customFormat="1" x14ac:dyDescent="0.25"/>
    <row r="102" s="15" customFormat="1" x14ac:dyDescent="0.25"/>
    <row r="103" s="15" customFormat="1" x14ac:dyDescent="0.25"/>
    <row r="104" s="15" customFormat="1" ht="46.5" customHeight="1" x14ac:dyDescent="0.25"/>
    <row r="105" s="15" customFormat="1" ht="138" customHeight="1" x14ac:dyDescent="0.25"/>
    <row r="106" s="15" customFormat="1" x14ac:dyDescent="0.25"/>
    <row r="107" s="15" customFormat="1" x14ac:dyDescent="0.25"/>
    <row r="108" s="15" customFormat="1" x14ac:dyDescent="0.25"/>
    <row r="109" s="15" customFormat="1" x14ac:dyDescent="0.25"/>
    <row r="110" s="15" customFormat="1" x14ac:dyDescent="0.25"/>
    <row r="111" s="15" customFormat="1" x14ac:dyDescent="0.25"/>
    <row r="112" s="15" customFormat="1" x14ac:dyDescent="0.25"/>
    <row r="113" s="15" customFormat="1" x14ac:dyDescent="0.25"/>
    <row r="114" s="15" customFormat="1" x14ac:dyDescent="0.25"/>
    <row r="115" s="15" customFormat="1" x14ac:dyDescent="0.25"/>
    <row r="116" s="15" customFormat="1" ht="114.95" customHeight="1" x14ac:dyDescent="0.25"/>
    <row r="117" s="15" customFormat="1" ht="57.6" customHeight="1" x14ac:dyDescent="0.25"/>
    <row r="118" s="15" customFormat="1" x14ac:dyDescent="0.25"/>
    <row r="119" s="15" customFormat="1" ht="57.6" customHeight="1" x14ac:dyDescent="0.25"/>
    <row r="120" s="15" customFormat="1" ht="57.6" customHeight="1" x14ac:dyDescent="0.25"/>
    <row r="121" s="15" customFormat="1" x14ac:dyDescent="0.25"/>
    <row r="122" s="15" customFormat="1" ht="57.6" customHeight="1" x14ac:dyDescent="0.25"/>
    <row r="123" s="15" customFormat="1" x14ac:dyDescent="0.25"/>
    <row r="124" s="15" customFormat="1" x14ac:dyDescent="0.25"/>
    <row r="125" s="15" customFormat="1" ht="114.95" customHeight="1" x14ac:dyDescent="0.25"/>
    <row r="126" s="15" customFormat="1" x14ac:dyDescent="0.25"/>
    <row r="127" s="15" customFormat="1" ht="57.6" customHeight="1" x14ac:dyDescent="0.25"/>
    <row r="128" s="15" customFormat="1" ht="114.95" customHeight="1" x14ac:dyDescent="0.25"/>
    <row r="129" s="15" customFormat="1" ht="92.1" customHeight="1" x14ac:dyDescent="0.25"/>
    <row r="130" s="15" customFormat="1" ht="57.6" customHeight="1" x14ac:dyDescent="0.25"/>
    <row r="131" s="15" customFormat="1" ht="57.6" customHeight="1" x14ac:dyDescent="0.25"/>
    <row r="132" s="15" customFormat="1" ht="57.6" customHeight="1" x14ac:dyDescent="0.25"/>
    <row r="133" s="15" customFormat="1" ht="57.6" customHeight="1" x14ac:dyDescent="0.25"/>
    <row r="134" s="15" customFormat="1" ht="69" customHeight="1" x14ac:dyDescent="0.25"/>
    <row r="135" s="15" customFormat="1" x14ac:dyDescent="0.25"/>
    <row r="136" s="15" customFormat="1" ht="69" customHeight="1" x14ac:dyDescent="0.25"/>
    <row r="137" s="15" customFormat="1" ht="57.6" customHeight="1" x14ac:dyDescent="0.25"/>
    <row r="138" s="15" customFormat="1" x14ac:dyDescent="0.25"/>
    <row r="139" s="15" customFormat="1" x14ac:dyDescent="0.25"/>
    <row r="140" s="15" customFormat="1" x14ac:dyDescent="0.25"/>
    <row r="141" s="15" customFormat="1" x14ac:dyDescent="0.25"/>
    <row r="142" s="15" customFormat="1" ht="57.6" customHeight="1" x14ac:dyDescent="0.25"/>
    <row r="143" s="15" customFormat="1" ht="92.1" customHeight="1" x14ac:dyDescent="0.25"/>
    <row r="144" s="15" customFormat="1" ht="92.1" customHeight="1" x14ac:dyDescent="0.25"/>
    <row r="145" s="15" customFormat="1" x14ac:dyDescent="0.25"/>
    <row r="146" s="15" customFormat="1" x14ac:dyDescent="0.25"/>
    <row r="147" s="15" customFormat="1" x14ac:dyDescent="0.25"/>
    <row r="148" s="15" customFormat="1" ht="57.6" customHeight="1" x14ac:dyDescent="0.25"/>
    <row r="149" s="15" customFormat="1" ht="69" customHeight="1" x14ac:dyDescent="0.25"/>
    <row r="150" s="15" customFormat="1" ht="69" customHeight="1" x14ac:dyDescent="0.25"/>
    <row r="151" s="15" customFormat="1" x14ac:dyDescent="0.25"/>
    <row r="152" s="15" customFormat="1" x14ac:dyDescent="0.25"/>
    <row r="153" s="15" customFormat="1" x14ac:dyDescent="0.25"/>
    <row r="154" s="15" customFormat="1" ht="114.95" customHeight="1" x14ac:dyDescent="0.25"/>
    <row r="155" s="15" customFormat="1" x14ac:dyDescent="0.25"/>
    <row r="156" s="15" customFormat="1" ht="57.6" customHeight="1" x14ac:dyDescent="0.25"/>
    <row r="157" s="15" customFormat="1" ht="57.6" customHeight="1" x14ac:dyDescent="0.25"/>
    <row r="158" s="15" customFormat="1" ht="57.6" customHeight="1" x14ac:dyDescent="0.25"/>
    <row r="159" s="15" customFormat="1" ht="57.6" customHeight="1" x14ac:dyDescent="0.25"/>
    <row r="160" s="15" customFormat="1" ht="57.6" customHeight="1" x14ac:dyDescent="0.25"/>
    <row r="161" s="15" customFormat="1" ht="92.1" customHeight="1" x14ac:dyDescent="0.25"/>
    <row r="162" s="15" customFormat="1" ht="80.45" customHeight="1" x14ac:dyDescent="0.25"/>
    <row r="163" s="15" customFormat="1" ht="80.45" customHeight="1" x14ac:dyDescent="0.25"/>
    <row r="164" s="15" customFormat="1" ht="126.6" customHeight="1" x14ac:dyDescent="0.25"/>
    <row r="165" s="15" customFormat="1" ht="103.5" customHeight="1" x14ac:dyDescent="0.25"/>
    <row r="166" s="15" customFormat="1" ht="80.45" customHeight="1" x14ac:dyDescent="0.25"/>
    <row r="167" s="15" customFormat="1" ht="92.1" customHeight="1" x14ac:dyDescent="0.25"/>
    <row r="168" s="15" customFormat="1" ht="92.1" customHeight="1" x14ac:dyDescent="0.25"/>
    <row r="169" s="15" customFormat="1" ht="80.45" customHeight="1" x14ac:dyDescent="0.25"/>
    <row r="170" s="15" customFormat="1" ht="80.45" customHeight="1" x14ac:dyDescent="0.25"/>
    <row r="171" s="15" customFormat="1" ht="80.45" customHeight="1" x14ac:dyDescent="0.25"/>
    <row r="172" s="15" customFormat="1" ht="126.6" customHeight="1" x14ac:dyDescent="0.25"/>
    <row r="173" s="15" customFormat="1" ht="80.45" customHeight="1" x14ac:dyDescent="0.25"/>
    <row r="174" s="15" customFormat="1" ht="80.45" customHeight="1" x14ac:dyDescent="0.25"/>
    <row r="175" s="15" customFormat="1" ht="80.45" customHeight="1" x14ac:dyDescent="0.25"/>
    <row r="176" s="15" customFormat="1" ht="92.1" customHeight="1" x14ac:dyDescent="0.25"/>
    <row r="177" s="15" customFormat="1" ht="80.45" customHeight="1" x14ac:dyDescent="0.25"/>
    <row r="178" s="15" customFormat="1" ht="80.45" customHeight="1" x14ac:dyDescent="0.25"/>
    <row r="179" s="15" customFormat="1" ht="80.45" customHeight="1" x14ac:dyDescent="0.25"/>
    <row r="180" s="15" customFormat="1" ht="80.45" customHeight="1" x14ac:dyDescent="0.25"/>
    <row r="181" s="15" customFormat="1" ht="126.6" customHeight="1" x14ac:dyDescent="0.25"/>
    <row r="182" s="15" customFormat="1" ht="80.45" customHeight="1" x14ac:dyDescent="0.25"/>
    <row r="183" s="15" customFormat="1" ht="103.5" customHeight="1" x14ac:dyDescent="0.25"/>
    <row r="184" s="15" customFormat="1" ht="80.45" customHeight="1" x14ac:dyDescent="0.25"/>
    <row r="185" s="15" customFormat="1" ht="92.1" customHeight="1" x14ac:dyDescent="0.25"/>
    <row r="186" s="15" customFormat="1" ht="80.45" customHeight="1" x14ac:dyDescent="0.25"/>
    <row r="187" s="15" customFormat="1" x14ac:dyDescent="0.25"/>
    <row r="188" s="15" customFormat="1" x14ac:dyDescent="0.25"/>
    <row r="189" s="15" customFormat="1" x14ac:dyDescent="0.25"/>
    <row r="190" s="15" customFormat="1" x14ac:dyDescent="0.25"/>
    <row r="191" s="15" customFormat="1" x14ac:dyDescent="0.25"/>
    <row r="192" s="15" customFormat="1" x14ac:dyDescent="0.25"/>
    <row r="193" s="15" customFormat="1" x14ac:dyDescent="0.25"/>
    <row r="194" s="15" customFormat="1" x14ac:dyDescent="0.25"/>
    <row r="195" s="15" customFormat="1" x14ac:dyDescent="0.25"/>
    <row r="196" s="15" customFormat="1" x14ac:dyDescent="0.25"/>
    <row r="197" s="15" customFormat="1" x14ac:dyDescent="0.25"/>
    <row r="198" s="15" customFormat="1" x14ac:dyDescent="0.25"/>
    <row r="199" s="15" customFormat="1" x14ac:dyDescent="0.25"/>
    <row r="200" s="15" customFormat="1" x14ac:dyDescent="0.25"/>
    <row r="201" s="15" customFormat="1" x14ac:dyDescent="0.25"/>
    <row r="202" s="15" customFormat="1" x14ac:dyDescent="0.25"/>
    <row r="203" s="15" customFormat="1" x14ac:dyDescent="0.25"/>
    <row r="204" s="15" customFormat="1" x14ac:dyDescent="0.25"/>
    <row r="205" s="15" customFormat="1" x14ac:dyDescent="0.25"/>
    <row r="206" s="15" customFormat="1" x14ac:dyDescent="0.25"/>
    <row r="207" s="15" customFormat="1" x14ac:dyDescent="0.25"/>
    <row r="208" s="15" customFormat="1" x14ac:dyDescent="0.25"/>
    <row r="209" s="15" customFormat="1" x14ac:dyDescent="0.25"/>
    <row r="210" s="15" customFormat="1" x14ac:dyDescent="0.25"/>
    <row r="211" s="15" customFormat="1" x14ac:dyDescent="0.25"/>
    <row r="212" s="15" customFormat="1" x14ac:dyDescent="0.25"/>
    <row r="213" s="15" customFormat="1" x14ac:dyDescent="0.25"/>
    <row r="214" s="15" customFormat="1" x14ac:dyDescent="0.25"/>
    <row r="215" s="15" customFormat="1" ht="114.95" customHeight="1" x14ac:dyDescent="0.25"/>
    <row r="216" s="15" customFormat="1" ht="103.5" customHeight="1" x14ac:dyDescent="0.25"/>
    <row r="217" s="15" customFormat="1" ht="103.5" customHeight="1" x14ac:dyDescent="0.25"/>
    <row r="218" s="15" customFormat="1" ht="103.5" customHeight="1" x14ac:dyDescent="0.25"/>
    <row r="219" s="15" customFormat="1" ht="276" customHeight="1" x14ac:dyDescent="0.25"/>
    <row r="220" s="15" customFormat="1" ht="299.10000000000002" customHeight="1" x14ac:dyDescent="0.25"/>
    <row r="221" s="15" customFormat="1" ht="299.10000000000002" customHeight="1" x14ac:dyDescent="0.25"/>
    <row r="222" s="15" customFormat="1" ht="103.5" customHeight="1" x14ac:dyDescent="0.25"/>
    <row r="223" s="15" customFormat="1" ht="299.10000000000002" customHeight="1" x14ac:dyDescent="0.25"/>
    <row r="224" s="15" customFormat="1" ht="299.10000000000002" customHeight="1" x14ac:dyDescent="0.25"/>
    <row r="225" s="15" customFormat="1" x14ac:dyDescent="0.25"/>
    <row r="226" s="15" customFormat="1" x14ac:dyDescent="0.25"/>
    <row r="227" s="15" customFormat="1" x14ac:dyDescent="0.25"/>
    <row r="228" s="15" customFormat="1" ht="103.5" customHeight="1" x14ac:dyDescent="0.25"/>
    <row r="229" s="15" customFormat="1" ht="103.5" customHeight="1" x14ac:dyDescent="0.25"/>
    <row r="230" s="15" customFormat="1" x14ac:dyDescent="0.25"/>
    <row r="231" s="15" customFormat="1" x14ac:dyDescent="0.25"/>
    <row r="232" s="15" customFormat="1" x14ac:dyDescent="0.25"/>
    <row r="233" s="15" customFormat="1" x14ac:dyDescent="0.25"/>
    <row r="234" s="15" customFormat="1" x14ac:dyDescent="0.25"/>
    <row r="235" s="15" customFormat="1" x14ac:dyDescent="0.25"/>
    <row r="236" s="15" customFormat="1" x14ac:dyDescent="0.25"/>
    <row r="237" s="15" customFormat="1" x14ac:dyDescent="0.25"/>
    <row r="238" s="15" customFormat="1" x14ac:dyDescent="0.25"/>
    <row r="239" s="15" customFormat="1" ht="195.6" customHeight="1" x14ac:dyDescent="0.25"/>
    <row r="240" s="15" customFormat="1" ht="103.5" customHeight="1" x14ac:dyDescent="0.25"/>
    <row r="241" s="15" customFormat="1" ht="103.5" customHeight="1" x14ac:dyDescent="0.25"/>
    <row r="242" s="15" customFormat="1" ht="103.5" customHeight="1" x14ac:dyDescent="0.25"/>
    <row r="243" s="15" customFormat="1" ht="103.5" customHeight="1" x14ac:dyDescent="0.25"/>
    <row r="244" s="15" customFormat="1" x14ac:dyDescent="0.25"/>
    <row r="245" s="15" customFormat="1" x14ac:dyDescent="0.25"/>
    <row r="246" s="15" customFormat="1" ht="114.95" customHeight="1" x14ac:dyDescent="0.25"/>
    <row r="247" s="15" customFormat="1" x14ac:dyDescent="0.25"/>
    <row r="248" s="15" customFormat="1" x14ac:dyDescent="0.25"/>
    <row r="249" s="15" customFormat="1" x14ac:dyDescent="0.25"/>
    <row r="250" s="15" customFormat="1" x14ac:dyDescent="0.25"/>
    <row r="251" s="15" customFormat="1" x14ac:dyDescent="0.25"/>
    <row r="252" s="15" customFormat="1" x14ac:dyDescent="0.25"/>
    <row r="253" s="15" customFormat="1" x14ac:dyDescent="0.25"/>
    <row r="254" s="15" customFormat="1" x14ac:dyDescent="0.25"/>
    <row r="255" s="15" customFormat="1" ht="161.1" customHeight="1" x14ac:dyDescent="0.25"/>
    <row r="256" s="15" customFormat="1" x14ac:dyDescent="0.25"/>
    <row r="257" s="15" customFormat="1" x14ac:dyDescent="0.25"/>
    <row r="258" s="15" customFormat="1" ht="126.6" customHeight="1" x14ac:dyDescent="0.25"/>
    <row r="259" s="15" customFormat="1" ht="126.6" customHeight="1" x14ac:dyDescent="0.25"/>
    <row r="260" s="15" customFormat="1" x14ac:dyDescent="0.25"/>
    <row r="261" s="15" customFormat="1" ht="103.5" customHeight="1" x14ac:dyDescent="0.25"/>
    <row r="262" s="15" customFormat="1" x14ac:dyDescent="0.25"/>
    <row r="263" s="15" customFormat="1" x14ac:dyDescent="0.25"/>
    <row r="264" s="15" customFormat="1" x14ac:dyDescent="0.25"/>
    <row r="265" s="15" customFormat="1" ht="138" customHeight="1" x14ac:dyDescent="0.25"/>
    <row r="266" s="15" customFormat="1" ht="126.6" customHeight="1" x14ac:dyDescent="0.25"/>
    <row r="267" s="15" customFormat="1" ht="149.44999999999999" customHeight="1" x14ac:dyDescent="0.25"/>
    <row r="268" s="15" customFormat="1" ht="183.95" customHeight="1" x14ac:dyDescent="0.25"/>
    <row r="269" s="15" customFormat="1" ht="172.5" customHeight="1" x14ac:dyDescent="0.25"/>
    <row r="270" s="15" customFormat="1" ht="149.44999999999999" customHeight="1" x14ac:dyDescent="0.25"/>
    <row r="271" s="15" customFormat="1" ht="276" customHeight="1" x14ac:dyDescent="0.25"/>
    <row r="272" s="15" customFormat="1" ht="138" customHeight="1" x14ac:dyDescent="0.25"/>
    <row r="273" s="15" customFormat="1" ht="172.5" customHeight="1" x14ac:dyDescent="0.25"/>
    <row r="274" s="15" customFormat="1" ht="368.1" customHeight="1" x14ac:dyDescent="0.25"/>
    <row r="275" s="15" customFormat="1" ht="172.5" customHeight="1" x14ac:dyDescent="0.25"/>
    <row r="276" s="15" customFormat="1" ht="126.6" customHeight="1" x14ac:dyDescent="0.25"/>
    <row r="277" s="15" customFormat="1" ht="114.95" customHeight="1" x14ac:dyDescent="0.25"/>
    <row r="278" s="15" customFormat="1" x14ac:dyDescent="0.25"/>
    <row r="279" s="15" customFormat="1" x14ac:dyDescent="0.25"/>
    <row r="280" s="15" customFormat="1" x14ac:dyDescent="0.25"/>
    <row r="281" s="15" customFormat="1" x14ac:dyDescent="0.25"/>
    <row r="282" s="15" customFormat="1" ht="126.6" customHeight="1" x14ac:dyDescent="0.25"/>
    <row r="283" s="15" customFormat="1" x14ac:dyDescent="0.25"/>
    <row r="284" s="15" customFormat="1" x14ac:dyDescent="0.25"/>
    <row r="285" s="15" customFormat="1" x14ac:dyDescent="0.25"/>
    <row r="286" s="15" customFormat="1" x14ac:dyDescent="0.25"/>
    <row r="287" s="15" customFormat="1" x14ac:dyDescent="0.25"/>
    <row r="288" s="15" customFormat="1" x14ac:dyDescent="0.25"/>
    <row r="289" s="15" customFormat="1" x14ac:dyDescent="0.25"/>
    <row r="290" s="15" customFormat="1" x14ac:dyDescent="0.25"/>
    <row r="291" s="15" customFormat="1" x14ac:dyDescent="0.25"/>
    <row r="292" s="15" customFormat="1" x14ac:dyDescent="0.25"/>
    <row r="293" s="15" customFormat="1" x14ac:dyDescent="0.25"/>
    <row r="294" s="15" customFormat="1" x14ac:dyDescent="0.25"/>
    <row r="295" s="15" customFormat="1" x14ac:dyDescent="0.25"/>
    <row r="296" s="15" customFormat="1" x14ac:dyDescent="0.25"/>
    <row r="297" s="15" customFormat="1" x14ac:dyDescent="0.25"/>
    <row r="298" s="15" customFormat="1" x14ac:dyDescent="0.25"/>
    <row r="299" s="15" customFormat="1" ht="114.95" customHeight="1" x14ac:dyDescent="0.25"/>
    <row r="300" s="15" customFormat="1" ht="114.95" customHeight="1" x14ac:dyDescent="0.25"/>
    <row r="301" s="15" customFormat="1" ht="103.5" customHeight="1" x14ac:dyDescent="0.25"/>
    <row r="302" s="15" customFormat="1" x14ac:dyDescent="0.25"/>
    <row r="303" s="15" customFormat="1" x14ac:dyDescent="0.25"/>
    <row r="304" s="15" customFormat="1" x14ac:dyDescent="0.25"/>
    <row r="305" s="15" customFormat="1" ht="114.95" customHeight="1" x14ac:dyDescent="0.25"/>
    <row r="306" s="15" customFormat="1" ht="114.95" customHeight="1" x14ac:dyDescent="0.25"/>
    <row r="307" s="15" customFormat="1" ht="114.95" customHeight="1" x14ac:dyDescent="0.25"/>
    <row r="308" s="15" customFormat="1" ht="114.95" customHeight="1" x14ac:dyDescent="0.25"/>
    <row r="309" s="15" customFormat="1" x14ac:dyDescent="0.25"/>
    <row r="310" s="15" customFormat="1" x14ac:dyDescent="0.25"/>
    <row r="311" s="15" customFormat="1" ht="126.6" customHeight="1" x14ac:dyDescent="0.25"/>
    <row r="312" s="15" customFormat="1" ht="126.6" customHeight="1" x14ac:dyDescent="0.25"/>
    <row r="313" s="15" customFormat="1" ht="138" customHeight="1" x14ac:dyDescent="0.25"/>
    <row r="314" s="15" customFormat="1" x14ac:dyDescent="0.25"/>
    <row r="315" s="15" customFormat="1" ht="126.6" customHeight="1" x14ac:dyDescent="0.25"/>
    <row r="316" s="15" customFormat="1" ht="114.95" customHeight="1" x14ac:dyDescent="0.25"/>
    <row r="317" s="15" customFormat="1" x14ac:dyDescent="0.25"/>
    <row r="318" s="15" customFormat="1" x14ac:dyDescent="0.25"/>
    <row r="319" s="15" customFormat="1" x14ac:dyDescent="0.25"/>
    <row r="320" s="15" customFormat="1" x14ac:dyDescent="0.25"/>
    <row r="321" s="15" customFormat="1" ht="103.5" customHeight="1" x14ac:dyDescent="0.25"/>
    <row r="322" s="15" customFormat="1" x14ac:dyDescent="0.25"/>
    <row r="323" s="15" customFormat="1" x14ac:dyDescent="0.25"/>
    <row r="324" s="15" customFormat="1" x14ac:dyDescent="0.25"/>
    <row r="325" s="15" customFormat="1" x14ac:dyDescent="0.25"/>
    <row r="326" s="15" customFormat="1" ht="183.95" customHeight="1" x14ac:dyDescent="0.25"/>
    <row r="327" s="15" customFormat="1" ht="126.6" customHeight="1" x14ac:dyDescent="0.25"/>
    <row r="328" s="15" customFormat="1" ht="114.95" customHeight="1" x14ac:dyDescent="0.25"/>
    <row r="329" s="15" customFormat="1" ht="126.6" customHeight="1" x14ac:dyDescent="0.25"/>
    <row r="330" s="15" customFormat="1" ht="126.6" customHeight="1" x14ac:dyDescent="0.25"/>
    <row r="331" s="15" customFormat="1" ht="126.6" customHeight="1" x14ac:dyDescent="0.25"/>
    <row r="332" s="15" customFormat="1" ht="126.6" customHeight="1" x14ac:dyDescent="0.25"/>
    <row r="333" s="15" customFormat="1" ht="149.44999999999999" customHeight="1" x14ac:dyDescent="0.25"/>
    <row r="334" s="15" customFormat="1" ht="161.1" customHeight="1" x14ac:dyDescent="0.25"/>
    <row r="335" s="15" customFormat="1" ht="149.44999999999999" customHeight="1" x14ac:dyDescent="0.25"/>
    <row r="336" s="15" customFormat="1" ht="195.6" customHeight="1" x14ac:dyDescent="0.25"/>
    <row r="337" s="15" customFormat="1" ht="149.44999999999999" customHeight="1" x14ac:dyDescent="0.25"/>
    <row r="338" s="15" customFormat="1" ht="321.95" customHeight="1" x14ac:dyDescent="0.25"/>
    <row r="339" s="15" customFormat="1" ht="310.5" customHeight="1" x14ac:dyDescent="0.25"/>
    <row r="340" s="15" customFormat="1" ht="114.95" customHeight="1" x14ac:dyDescent="0.25"/>
    <row r="341" s="15" customFormat="1" ht="126.6" customHeight="1" x14ac:dyDescent="0.25"/>
    <row r="342" s="15" customFormat="1" ht="138" customHeight="1" x14ac:dyDescent="0.25"/>
    <row r="343" s="15" customFormat="1" ht="114.95" customHeight="1" x14ac:dyDescent="0.25"/>
    <row r="344" s="15" customFormat="1" ht="230.1" customHeight="1" x14ac:dyDescent="0.25"/>
    <row r="345" s="15" customFormat="1" ht="126.6" customHeight="1" x14ac:dyDescent="0.25"/>
    <row r="346" s="15" customFormat="1" ht="138" customHeight="1" x14ac:dyDescent="0.25"/>
    <row r="347" s="15" customFormat="1" ht="126.6" customHeight="1" x14ac:dyDescent="0.25"/>
    <row r="348" s="15" customFormat="1" ht="126.6" customHeight="1" x14ac:dyDescent="0.25"/>
    <row r="349" s="15" customFormat="1" ht="126.6" customHeight="1" x14ac:dyDescent="0.25"/>
    <row r="350" s="15" customFormat="1" ht="138" customHeight="1" x14ac:dyDescent="0.25"/>
    <row r="351" s="15" customFormat="1" ht="149.44999999999999" customHeight="1" x14ac:dyDescent="0.25"/>
    <row r="352" s="15" customFormat="1" ht="149.44999999999999" customHeight="1" x14ac:dyDescent="0.25"/>
    <row r="353" s="15" customFormat="1" ht="114.95" customHeight="1" x14ac:dyDescent="0.25"/>
    <row r="354" s="15" customFormat="1" ht="241.5" customHeight="1" x14ac:dyDescent="0.25"/>
    <row r="355" s="15" customFormat="1" ht="149.44999999999999" customHeight="1" x14ac:dyDescent="0.25"/>
    <row r="356" s="15" customFormat="1" ht="230.1" customHeight="1" x14ac:dyDescent="0.25"/>
    <row r="357" s="15" customFormat="1" ht="252.95" customHeight="1" x14ac:dyDescent="0.25"/>
    <row r="358" s="15" customFormat="1" ht="126.6" customHeight="1" x14ac:dyDescent="0.25"/>
    <row r="359" s="15" customFormat="1" ht="183.95" customHeight="1" x14ac:dyDescent="0.25"/>
    <row r="360" s="15" customFormat="1" ht="126.6" customHeight="1" x14ac:dyDescent="0.25"/>
    <row r="361" s="15" customFormat="1" ht="161.1" customHeight="1" x14ac:dyDescent="0.25"/>
    <row r="362" s="15" customFormat="1" ht="183.95" customHeight="1" x14ac:dyDescent="0.25"/>
    <row r="363" s="15" customFormat="1" ht="230.1" customHeight="1" x14ac:dyDescent="0.25"/>
    <row r="364" s="15" customFormat="1" ht="218.45" customHeight="1" x14ac:dyDescent="0.25"/>
    <row r="365" s="15" customFormat="1" ht="126.6" customHeight="1" x14ac:dyDescent="0.25"/>
    <row r="366" s="15" customFormat="1" ht="126.6" customHeight="1" x14ac:dyDescent="0.25"/>
    <row r="367" s="15" customFormat="1" ht="149.44999999999999" customHeight="1" x14ac:dyDescent="0.25"/>
    <row r="368" s="15" customFormat="1" ht="126.6" customHeight="1" x14ac:dyDescent="0.25"/>
    <row r="369" s="15" customFormat="1" ht="126.6" customHeight="1" x14ac:dyDescent="0.25"/>
    <row r="370" s="15" customFormat="1" ht="126.6" customHeight="1" x14ac:dyDescent="0.25"/>
    <row r="371" s="15" customFormat="1" ht="138" customHeight="1" x14ac:dyDescent="0.25"/>
    <row r="372" s="15" customFormat="1" ht="149.44999999999999" customHeight="1" x14ac:dyDescent="0.25"/>
    <row r="373" s="15" customFormat="1" ht="161.1" customHeight="1" x14ac:dyDescent="0.25"/>
    <row r="374" s="15" customFormat="1" ht="241.5" customHeight="1" x14ac:dyDescent="0.25"/>
    <row r="375" s="15" customFormat="1" ht="149.44999999999999" customHeight="1" x14ac:dyDescent="0.25"/>
    <row r="376" s="15" customFormat="1" ht="230.1" customHeight="1" x14ac:dyDescent="0.25"/>
    <row r="377" s="15" customFormat="1" ht="241.5" customHeight="1" x14ac:dyDescent="0.25"/>
    <row r="378" s="15" customFormat="1" ht="114.95" customHeight="1" x14ac:dyDescent="0.25"/>
    <row r="379" s="15" customFormat="1" ht="138" customHeight="1" x14ac:dyDescent="0.25"/>
    <row r="380" s="15" customFormat="1" ht="126.6" customHeight="1" x14ac:dyDescent="0.25"/>
    <row r="381" s="15" customFormat="1" ht="114.95" customHeight="1" x14ac:dyDescent="0.25"/>
    <row r="382" s="15" customFormat="1" ht="126.6" customHeight="1" x14ac:dyDescent="0.25"/>
    <row r="383" s="15" customFormat="1" ht="138" customHeight="1" x14ac:dyDescent="0.25"/>
    <row r="384" s="15" customFormat="1" ht="126.6" customHeight="1" x14ac:dyDescent="0.25"/>
    <row r="385" s="15" customFormat="1" ht="126.6" customHeight="1" x14ac:dyDescent="0.25"/>
    <row r="386" s="15" customFormat="1" x14ac:dyDescent="0.25"/>
    <row r="387" s="15" customFormat="1" ht="114.95" customHeight="1" x14ac:dyDescent="0.25"/>
    <row r="388" s="15" customFormat="1" x14ac:dyDescent="0.25"/>
    <row r="389" s="15" customFormat="1" x14ac:dyDescent="0.25"/>
    <row r="390" s="15" customFormat="1" ht="287.45" customHeight="1" x14ac:dyDescent="0.25"/>
    <row r="391" s="15" customFormat="1" x14ac:dyDescent="0.25"/>
    <row r="392" s="15" customFormat="1" ht="114.95" customHeight="1" x14ac:dyDescent="0.25"/>
    <row r="393" s="15" customFormat="1" x14ac:dyDescent="0.25"/>
    <row r="394" s="15" customFormat="1" x14ac:dyDescent="0.25"/>
    <row r="395" s="15" customFormat="1" x14ac:dyDescent="0.25"/>
    <row r="396" s="15" customFormat="1" x14ac:dyDescent="0.25"/>
    <row r="397" s="15" customFormat="1" x14ac:dyDescent="0.25"/>
    <row r="398" s="15" customFormat="1" x14ac:dyDescent="0.25"/>
    <row r="399" s="15" customFormat="1" x14ac:dyDescent="0.25"/>
    <row r="400" s="15" customFormat="1" x14ac:dyDescent="0.25"/>
    <row r="401" s="15" customFormat="1" x14ac:dyDescent="0.25"/>
    <row r="402" s="15" customFormat="1" x14ac:dyDescent="0.25"/>
    <row r="403" s="15" customFormat="1" x14ac:dyDescent="0.25"/>
    <row r="404" s="15" customFormat="1" ht="103.5" customHeight="1" x14ac:dyDescent="0.25"/>
    <row r="405" s="15" customFormat="1" x14ac:dyDescent="0.25"/>
    <row r="406" s="15" customFormat="1" x14ac:dyDescent="0.25"/>
    <row r="407" s="15" customFormat="1" ht="103.5" customHeight="1" x14ac:dyDescent="0.25"/>
    <row r="408" s="15" customFormat="1" x14ac:dyDescent="0.25"/>
    <row r="409" s="15" customFormat="1" x14ac:dyDescent="0.25"/>
    <row r="410" s="15" customFormat="1" ht="114.95" customHeight="1" x14ac:dyDescent="0.25"/>
    <row r="411" s="15" customFormat="1" ht="103.5" customHeight="1" x14ac:dyDescent="0.25"/>
    <row r="412" s="15" customFormat="1" ht="149.44999999999999" customHeight="1" x14ac:dyDescent="0.25"/>
    <row r="413" s="15" customFormat="1" x14ac:dyDescent="0.25"/>
    <row r="414" s="15" customFormat="1" x14ac:dyDescent="0.25"/>
    <row r="415" s="15" customFormat="1" x14ac:dyDescent="0.25"/>
    <row r="416" s="15" customFormat="1" ht="195.6" customHeight="1" x14ac:dyDescent="0.25"/>
    <row r="417" s="15" customFormat="1" x14ac:dyDescent="0.25"/>
    <row r="418" s="15" customFormat="1" x14ac:dyDescent="0.25"/>
    <row r="419" s="15" customFormat="1" x14ac:dyDescent="0.25"/>
    <row r="420" s="15" customFormat="1" ht="207" customHeight="1" x14ac:dyDescent="0.25"/>
    <row r="421" s="15" customFormat="1" x14ac:dyDescent="0.25"/>
    <row r="422" s="15" customFormat="1" x14ac:dyDescent="0.25"/>
    <row r="423" s="15" customFormat="1" x14ac:dyDescent="0.25"/>
    <row r="424" s="15" customFormat="1" x14ac:dyDescent="0.25"/>
    <row r="425" s="15" customFormat="1" x14ac:dyDescent="0.25"/>
    <row r="426" s="15" customFormat="1" x14ac:dyDescent="0.25"/>
    <row r="427" s="15" customFormat="1" x14ac:dyDescent="0.25"/>
    <row r="428" s="15" customFormat="1" x14ac:dyDescent="0.25"/>
    <row r="429" s="15" customFormat="1" x14ac:dyDescent="0.25"/>
    <row r="430" s="15" customFormat="1" x14ac:dyDescent="0.25"/>
    <row r="431" s="15" customFormat="1" x14ac:dyDescent="0.25"/>
    <row r="432" s="15" customFormat="1" x14ac:dyDescent="0.25"/>
    <row r="433" s="15" customFormat="1" x14ac:dyDescent="0.25"/>
    <row r="434" s="15" customFormat="1" ht="114.95" customHeight="1" x14ac:dyDescent="0.25"/>
    <row r="435" s="15" customFormat="1" x14ac:dyDescent="0.25"/>
    <row r="436" s="15" customFormat="1" x14ac:dyDescent="0.25"/>
    <row r="437" s="15" customFormat="1" x14ac:dyDescent="0.25"/>
    <row r="438" s="15" customFormat="1" ht="103.5" customHeight="1" x14ac:dyDescent="0.25"/>
    <row r="439" s="15" customFormat="1" ht="103.5" customHeight="1" x14ac:dyDescent="0.25"/>
    <row r="440" s="15" customFormat="1" ht="114.95" customHeight="1" x14ac:dyDescent="0.25"/>
    <row r="441" s="15" customFormat="1" ht="114.95" customHeight="1" x14ac:dyDescent="0.25"/>
    <row r="442" s="15" customFormat="1" ht="103.5" customHeight="1" x14ac:dyDescent="0.25"/>
    <row r="443" s="15" customFormat="1" ht="138" customHeight="1" x14ac:dyDescent="0.25"/>
    <row r="444" s="15" customFormat="1" x14ac:dyDescent="0.25"/>
    <row r="445" s="15" customFormat="1" x14ac:dyDescent="0.25"/>
    <row r="446" s="15" customFormat="1" x14ac:dyDescent="0.25"/>
    <row r="447" s="15" customFormat="1" x14ac:dyDescent="0.25"/>
    <row r="448" s="15" customFormat="1" x14ac:dyDescent="0.25"/>
    <row r="449" s="15" customFormat="1" x14ac:dyDescent="0.25"/>
    <row r="450" s="15" customFormat="1" x14ac:dyDescent="0.25"/>
    <row r="451" s="15" customFormat="1" ht="126.6" customHeight="1" x14ac:dyDescent="0.25"/>
    <row r="452" s="15" customFormat="1" x14ac:dyDescent="0.25"/>
    <row r="453" s="15" customFormat="1" ht="126.6" customHeight="1" x14ac:dyDescent="0.25"/>
    <row r="454" s="15" customFormat="1" ht="126.6" customHeight="1" x14ac:dyDescent="0.25"/>
    <row r="455" s="15" customFormat="1" x14ac:dyDescent="0.25"/>
    <row r="456" s="15" customFormat="1" x14ac:dyDescent="0.25"/>
    <row r="457" s="15" customFormat="1" ht="126.6" customHeight="1" x14ac:dyDescent="0.25"/>
    <row r="458" s="15" customFormat="1" ht="161.1" customHeight="1" x14ac:dyDescent="0.25"/>
    <row r="459" s="15" customFormat="1" ht="126.6" customHeight="1" x14ac:dyDescent="0.25"/>
    <row r="460" s="15" customFormat="1" ht="114.95" customHeight="1" x14ac:dyDescent="0.25"/>
    <row r="461" s="15" customFormat="1" ht="138" customHeight="1" x14ac:dyDescent="0.25"/>
    <row r="462" s="15" customFormat="1" ht="138" customHeight="1" x14ac:dyDescent="0.25"/>
    <row r="463" s="15" customFormat="1" ht="183.95" customHeight="1" x14ac:dyDescent="0.25"/>
    <row r="464" s="15" customFormat="1" ht="126.6" customHeight="1" x14ac:dyDescent="0.25"/>
    <row r="465" s="15" customFormat="1" ht="172.5" customHeight="1" x14ac:dyDescent="0.25"/>
    <row r="466" s="15" customFormat="1" ht="218.45" customHeight="1" x14ac:dyDescent="0.25"/>
    <row r="467" s="15" customFormat="1" ht="207" customHeight="1" x14ac:dyDescent="0.25"/>
    <row r="468" s="15" customFormat="1" ht="207" customHeight="1" x14ac:dyDescent="0.25"/>
    <row r="469" s="15" customFormat="1" x14ac:dyDescent="0.25"/>
    <row r="470" s="15" customFormat="1" ht="126.6" customHeight="1" x14ac:dyDescent="0.25"/>
    <row r="471" s="15" customFormat="1" x14ac:dyDescent="0.25"/>
    <row r="472" s="15" customFormat="1" x14ac:dyDescent="0.25"/>
    <row r="473" s="15" customFormat="1" x14ac:dyDescent="0.25"/>
    <row r="474" s="15" customFormat="1" x14ac:dyDescent="0.25"/>
    <row r="475" s="15" customFormat="1" x14ac:dyDescent="0.25"/>
    <row r="476" s="15" customFormat="1" x14ac:dyDescent="0.25"/>
    <row r="477" s="15" customFormat="1" x14ac:dyDescent="0.25"/>
    <row r="478" s="15" customFormat="1" x14ac:dyDescent="0.25"/>
    <row r="479" s="15" customFormat="1" x14ac:dyDescent="0.25"/>
    <row r="480" s="15" customFormat="1" x14ac:dyDescent="0.25"/>
    <row r="481" s="15" customFormat="1" x14ac:dyDescent="0.25"/>
    <row r="482" s="15" customFormat="1" x14ac:dyDescent="0.25"/>
    <row r="483" s="15" customFormat="1" ht="161.1" customHeight="1" x14ac:dyDescent="0.25"/>
    <row r="484" s="15" customFormat="1" x14ac:dyDescent="0.25"/>
    <row r="485" s="15" customFormat="1" x14ac:dyDescent="0.25"/>
    <row r="486" s="15" customFormat="1" x14ac:dyDescent="0.25"/>
    <row r="487" s="15" customFormat="1" x14ac:dyDescent="0.25"/>
    <row r="488" s="15" customFormat="1" x14ac:dyDescent="0.25"/>
    <row r="489" s="15" customFormat="1" x14ac:dyDescent="0.25"/>
    <row r="490" s="15" customFormat="1" x14ac:dyDescent="0.25"/>
    <row r="491" s="15" customFormat="1" ht="172.5" customHeight="1" x14ac:dyDescent="0.25"/>
    <row r="492" s="15" customFormat="1" x14ac:dyDescent="0.25"/>
    <row r="493" s="15" customFormat="1" x14ac:dyDescent="0.25"/>
    <row r="494" s="15" customFormat="1" x14ac:dyDescent="0.25"/>
    <row r="495" s="15" customFormat="1" x14ac:dyDescent="0.25"/>
    <row r="496" s="15" customFormat="1" ht="103.5" customHeight="1" x14ac:dyDescent="0.25"/>
    <row r="497" s="15" customFormat="1" x14ac:dyDescent="0.25"/>
    <row r="498" s="15" customFormat="1" ht="149.44999999999999" customHeight="1" x14ac:dyDescent="0.25"/>
    <row r="499" s="15" customFormat="1" x14ac:dyDescent="0.25"/>
    <row r="500" s="15" customFormat="1" x14ac:dyDescent="0.25"/>
    <row r="501" s="15" customFormat="1" x14ac:dyDescent="0.25"/>
    <row r="502" s="15" customFormat="1" x14ac:dyDescent="0.25"/>
    <row r="503" s="15" customFormat="1" x14ac:dyDescent="0.25"/>
    <row r="504" s="15" customFormat="1" x14ac:dyDescent="0.25"/>
    <row r="505" s="15" customFormat="1" x14ac:dyDescent="0.25"/>
    <row r="506" s="15" customFormat="1" x14ac:dyDescent="0.25"/>
    <row r="507" s="15" customFormat="1" ht="126.6" customHeight="1" x14ac:dyDescent="0.25"/>
    <row r="508" s="15" customFormat="1" x14ac:dyDescent="0.25"/>
  </sheetData>
  <conditionalFormatting sqref="H2:H61">
    <cfRule type="cellIs" dxfId="19" priority="27" operator="equal">
      <formula>"Non Compliant"</formula>
    </cfRule>
    <cfRule type="cellIs" dxfId="18" priority="28" operator="equal">
      <formula>"Compliant"</formula>
    </cfRule>
  </conditionalFormatting>
  <conditionalFormatting sqref="H2:H61">
    <cfRule type="cellIs" dxfId="17" priority="26" operator="equal">
      <formula>"Request Control Exemption"</formula>
    </cfRule>
  </conditionalFormatting>
  <conditionalFormatting sqref="K2:K61">
    <cfRule type="cellIs" dxfId="16" priority="24" operator="equal">
      <formula>"Non Compliant"</formula>
    </cfRule>
    <cfRule type="cellIs" dxfId="15" priority="25" operator="equal">
      <formula>"Compliant"</formula>
    </cfRule>
  </conditionalFormatting>
  <conditionalFormatting sqref="K2:K61">
    <cfRule type="cellIs" dxfId="14" priority="23" operator="equal">
      <formula>"Control Exempted"</formula>
    </cfRule>
  </conditionalFormatting>
  <conditionalFormatting sqref="F2:F61">
    <cfRule type="containsText" dxfId="13" priority="1" operator="containsText" text="Secondary">
      <formula>NOT(ISERROR(SEARCH("Secondary",F2)))</formula>
    </cfRule>
    <cfRule type="containsText" dxfId="12" priority="2" operator="containsText" text="Mandatory">
      <formula>NOT(ISERROR(SEARCH("Mandatory",F2)))</formula>
    </cfRule>
  </conditionalFormatting>
  <dataValidations count="2">
    <dataValidation type="list" allowBlank="1" showInputMessage="1" showErrorMessage="1" sqref="K2:K61" xr:uid="{00000000-0002-0000-0300-000000000000}">
      <formula1>"Compliant, Non Compliant, Control Exempted"</formula1>
    </dataValidation>
    <dataValidation type="list" allowBlank="1" showInputMessage="1" showErrorMessage="1" sqref="H2:H61" xr:uid="{00000000-0002-0000-0300-000001000000}">
      <formula1>"Compliant, Non Compliant, Request Control Exemption"</formula1>
    </dataValidation>
  </dataValidations>
  <pageMargins left="0.7" right="0.7" top="0.75" bottom="0.75" header="0.3" footer="0.3"/>
  <pageSetup paperSize="9" orientation="portrait" verticalDpi="9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J59"/>
  <sheetViews>
    <sheetView zoomScale="60" zoomScaleNormal="60" workbookViewId="0">
      <selection activeCell="A23" sqref="A23"/>
    </sheetView>
  </sheetViews>
  <sheetFormatPr defaultRowHeight="15" x14ac:dyDescent="0.25"/>
  <cols>
    <col min="1" max="1" width="60.5703125" style="32" customWidth="1"/>
    <col min="2" max="3" width="35.85546875" style="32" customWidth="1"/>
    <col min="4" max="4" width="17.42578125" customWidth="1"/>
    <col min="5" max="5" width="4.42578125" customWidth="1"/>
    <col min="6" max="6" width="60.42578125" customWidth="1"/>
    <col min="7" max="8" width="35.85546875" customWidth="1"/>
    <col min="9" max="9" width="17.42578125" customWidth="1"/>
    <col min="11" max="11" width="19.42578125" customWidth="1"/>
    <col min="12" max="12" width="13.140625" customWidth="1"/>
    <col min="13" max="13" width="11.42578125" customWidth="1"/>
  </cols>
  <sheetData>
    <row r="1" spans="1:9" x14ac:dyDescent="0.25">
      <c r="A1" s="114" t="s">
        <v>290</v>
      </c>
      <c r="B1" s="115"/>
      <c r="C1" s="116"/>
      <c r="F1" s="114" t="s">
        <v>291</v>
      </c>
      <c r="G1" s="116"/>
    </row>
    <row r="2" spans="1:9" ht="12.95" customHeight="1" x14ac:dyDescent="0.25">
      <c r="A2" s="35" t="s">
        <v>292</v>
      </c>
      <c r="B2" s="35" t="s">
        <v>293</v>
      </c>
      <c r="C2" s="35" t="s">
        <v>294</v>
      </c>
      <c r="F2" s="49"/>
      <c r="G2" s="47" t="s">
        <v>295</v>
      </c>
    </row>
    <row r="3" spans="1:9" x14ac:dyDescent="0.25">
      <c r="A3" s="50"/>
      <c r="B3" s="50"/>
      <c r="C3" s="50"/>
      <c r="F3" s="46"/>
      <c r="G3" s="47" t="s">
        <v>296</v>
      </c>
    </row>
    <row r="4" spans="1:9" x14ac:dyDescent="0.25">
      <c r="A4" s="51"/>
      <c r="B4" s="51"/>
      <c r="C4" s="51"/>
    </row>
    <row r="5" spans="1:9" ht="14.45" customHeight="1" x14ac:dyDescent="0.25">
      <c r="A5" s="50" t="s">
        <v>297</v>
      </c>
      <c r="B5" s="50"/>
      <c r="C5" s="50"/>
      <c r="D5" s="31"/>
      <c r="E5" s="31"/>
    </row>
    <row r="8" spans="1:9" ht="14.45" customHeight="1" x14ac:dyDescent="0.25">
      <c r="A8" s="136" t="s">
        <v>298</v>
      </c>
      <c r="B8" s="136"/>
      <c r="C8" s="136"/>
      <c r="D8" s="136"/>
      <c r="F8" s="136" t="s">
        <v>299</v>
      </c>
      <c r="G8" s="136"/>
      <c r="H8" s="136"/>
      <c r="I8" s="136"/>
    </row>
    <row r="9" spans="1:9" ht="14.45" customHeight="1" x14ac:dyDescent="0.25">
      <c r="A9" s="37" t="s">
        <v>300</v>
      </c>
      <c r="B9" s="137" t="s">
        <v>301</v>
      </c>
      <c r="C9" s="138"/>
      <c r="D9" s="139"/>
      <c r="E9" s="36"/>
      <c r="F9" s="37" t="s">
        <v>300</v>
      </c>
      <c r="G9" s="141" t="s">
        <v>301</v>
      </c>
      <c r="H9" s="141"/>
      <c r="I9" s="141"/>
    </row>
    <row r="10" spans="1:9" x14ac:dyDescent="0.25">
      <c r="A10" s="33" t="s">
        <v>302</v>
      </c>
      <c r="B10" s="125" t="s">
        <v>303</v>
      </c>
      <c r="C10" s="125"/>
      <c r="D10" s="125"/>
      <c r="F10" s="34" t="s">
        <v>304</v>
      </c>
      <c r="G10" s="144" t="str">
        <f>B14</f>
        <v>&lt;To be filled by Implementer&gt;</v>
      </c>
      <c r="H10" s="144"/>
      <c r="I10" s="144"/>
    </row>
    <row r="11" spans="1:9" ht="21.6" customHeight="1" x14ac:dyDescent="0.25">
      <c r="A11" s="33" t="s">
        <v>305</v>
      </c>
      <c r="B11" s="48" t="s">
        <v>306</v>
      </c>
      <c r="C11" s="48" t="s">
        <v>307</v>
      </c>
      <c r="D11" s="48" t="s">
        <v>308</v>
      </c>
      <c r="F11" s="34" t="s">
        <v>309</v>
      </c>
      <c r="G11" s="142">
        <f>COUNTIFS('MBSS Control Checklist'!K2:K61,"Control Exempted",'MBSS Control Checklist'!F2:F61,"Mandatory")</f>
        <v>0</v>
      </c>
      <c r="H11" s="142"/>
      <c r="I11" s="142"/>
    </row>
    <row r="12" spans="1:9" ht="41.1" customHeight="1" x14ac:dyDescent="0.25">
      <c r="A12" s="33" t="s">
        <v>310</v>
      </c>
      <c r="B12" s="125" t="s">
        <v>311</v>
      </c>
      <c r="C12" s="125"/>
      <c r="D12" s="125"/>
      <c r="F12" s="43" t="s">
        <v>312</v>
      </c>
      <c r="G12" s="140" t="str">
        <f>IF(COUNTIFS('MBSS Control Checklist'!K2:K61,"Control Exempted",'MBSS Control Checklist'!F2:F61,"Mandatory")=B13,"Total number of registered control exemption MATCHED with total number reported by Implementer","Total number of registered control exemption DOES NOT MATCHED with total number reported by Implementer")</f>
        <v>Total number of registered control exemption MATCHED with total number reported by Implementer</v>
      </c>
      <c r="H12" s="140"/>
      <c r="I12" s="140"/>
    </row>
    <row r="13" spans="1:9" x14ac:dyDescent="0.25">
      <c r="A13" s="34" t="s">
        <v>313</v>
      </c>
      <c r="B13" s="142">
        <f>COUNTIFS('MBSS Control Checklist'!H2:H61,"Request Control Exemption",'MBSS Control Checklist'!F2:F61,"Mandatory")</f>
        <v>0</v>
      </c>
      <c r="C13" s="142"/>
      <c r="D13" s="142"/>
      <c r="F13" s="34" t="s">
        <v>314</v>
      </c>
      <c r="G13" s="143" t="str">
        <f>B16</f>
        <v>&lt;To be filled by Implementer&gt;</v>
      </c>
      <c r="H13" s="143"/>
      <c r="I13" s="143"/>
    </row>
    <row r="14" spans="1:9" x14ac:dyDescent="0.25">
      <c r="A14" s="34" t="s">
        <v>304</v>
      </c>
      <c r="B14" s="132" t="s">
        <v>303</v>
      </c>
      <c r="C14" s="133"/>
      <c r="D14" s="134"/>
      <c r="F14" s="34" t="s">
        <v>315</v>
      </c>
      <c r="G14" s="145" t="s">
        <v>316</v>
      </c>
      <c r="H14" s="145"/>
      <c r="I14" s="145"/>
    </row>
    <row r="15" spans="1:9" ht="39.6" customHeight="1" x14ac:dyDescent="0.25">
      <c r="A15" s="34" t="s">
        <v>317</v>
      </c>
      <c r="B15" s="132" t="s">
        <v>303</v>
      </c>
      <c r="C15" s="133"/>
      <c r="D15" s="134"/>
      <c r="F15" s="43" t="s">
        <v>318</v>
      </c>
      <c r="G15" s="140" t="str">
        <f>IF(COUNTIFS('MBSS Control Checklist'!H2:H61,"Non compliant",'MBSS Control Checklist'!F2:F61,"Mandatory")=G14,"Risk acceptance registered MATCHED with number of non compliant reported by Implementer","Risk acceptance registered DOES NOT MATCHED with number of non compliant reported by Implementer")</f>
        <v>Risk acceptance registered DOES NOT MATCHED with number of non compliant reported by Implementer</v>
      </c>
      <c r="H15" s="140"/>
      <c r="I15" s="140"/>
    </row>
    <row r="16" spans="1:9" x14ac:dyDescent="0.25">
      <c r="A16" s="34" t="s">
        <v>314</v>
      </c>
      <c r="B16" s="132" t="s">
        <v>303</v>
      </c>
      <c r="C16" s="133"/>
      <c r="D16" s="134"/>
      <c r="F16" s="34" t="s">
        <v>319</v>
      </c>
      <c r="G16" s="135">
        <f>(COUNTIFS('MBSS Control Checklist'!K2:K61,"Compliant",'MBSS Control Checklist'!F2:F61,"Mandatory")+G11)/COUNTIF('MBSS Control Checklist'!F2:F61,"Mandatory")</f>
        <v>0</v>
      </c>
      <c r="H16" s="135"/>
      <c r="I16" s="135"/>
    </row>
    <row r="17" spans="1:10" x14ac:dyDescent="0.25">
      <c r="A17" s="34" t="s">
        <v>320</v>
      </c>
      <c r="B17" s="135">
        <f>((COUNTIFS('MBSS Control Checklist'!H2:H61,"Compliant",'MBSS Control Checklist'!F2:F61,"Mandatory"))+B13)/COUNTIF('MBSS Control Checklist'!F2:F61,"Mandatory")</f>
        <v>0.22033898305084745</v>
      </c>
      <c r="C17" s="135"/>
      <c r="D17" s="135"/>
    </row>
    <row r="19" spans="1:10" x14ac:dyDescent="0.25">
      <c r="A19" s="136" t="s">
        <v>321</v>
      </c>
      <c r="B19" s="136"/>
      <c r="C19" s="136"/>
      <c r="D19" s="136"/>
      <c r="F19" s="136" t="s">
        <v>322</v>
      </c>
      <c r="G19" s="136"/>
      <c r="H19" s="136"/>
      <c r="I19" s="136"/>
    </row>
    <row r="20" spans="1:10" x14ac:dyDescent="0.25">
      <c r="A20" s="37" t="s">
        <v>300</v>
      </c>
      <c r="B20" s="137" t="s">
        <v>301</v>
      </c>
      <c r="C20" s="138"/>
      <c r="D20" s="139"/>
      <c r="F20" s="37" t="s">
        <v>300</v>
      </c>
      <c r="G20" s="137" t="s">
        <v>301</v>
      </c>
      <c r="H20" s="138"/>
      <c r="I20" s="139"/>
    </row>
    <row r="21" spans="1:10" ht="24" x14ac:dyDescent="0.25">
      <c r="A21" s="33" t="s">
        <v>323</v>
      </c>
      <c r="B21" s="48" t="s">
        <v>306</v>
      </c>
      <c r="C21" s="48" t="s">
        <v>307</v>
      </c>
      <c r="D21" s="48" t="s">
        <v>324</v>
      </c>
      <c r="F21" s="34" t="s">
        <v>325</v>
      </c>
      <c r="G21" s="122">
        <f>G16</f>
        <v>0</v>
      </c>
      <c r="H21" s="123"/>
      <c r="I21" s="124"/>
    </row>
    <row r="22" spans="1:10" ht="24" x14ac:dyDescent="0.25">
      <c r="A22" s="33" t="s">
        <v>326</v>
      </c>
      <c r="B22" s="125" t="s">
        <v>311</v>
      </c>
      <c r="C22" s="125"/>
      <c r="D22" s="125"/>
      <c r="F22" s="34" t="s">
        <v>327</v>
      </c>
      <c r="G22" s="45" t="s">
        <v>306</v>
      </c>
      <c r="H22" s="45" t="s">
        <v>307</v>
      </c>
      <c r="I22" s="45" t="s">
        <v>324</v>
      </c>
    </row>
    <row r="23" spans="1:10" x14ac:dyDescent="0.25">
      <c r="F23" s="34" t="s">
        <v>328</v>
      </c>
      <c r="G23" s="126" t="s">
        <v>311</v>
      </c>
      <c r="H23" s="127"/>
      <c r="I23" s="128"/>
    </row>
    <row r="26" spans="1:10" ht="23.25" x14ac:dyDescent="0.25">
      <c r="A26" s="129" t="s">
        <v>329</v>
      </c>
      <c r="B26" s="130"/>
      <c r="C26" s="130"/>
      <c r="D26" s="130"/>
      <c r="E26" s="130"/>
      <c r="F26" s="131"/>
      <c r="G26" s="120" t="s">
        <v>330</v>
      </c>
      <c r="H26" s="121"/>
      <c r="I26" s="121"/>
      <c r="J26" s="31"/>
    </row>
    <row r="27" spans="1:10" x14ac:dyDescent="0.25">
      <c r="A27" s="38"/>
      <c r="G27" s="67" t="s">
        <v>331</v>
      </c>
      <c r="H27" s="68" t="s">
        <v>332</v>
      </c>
      <c r="I27" s="69">
        <f>COUNTIF('MBSS Control Checklist'!F2:F61,"Mandatory")</f>
        <v>59</v>
      </c>
    </row>
    <row r="28" spans="1:10" x14ac:dyDescent="0.25">
      <c r="A28" s="38"/>
      <c r="G28" s="70"/>
      <c r="H28" s="70"/>
      <c r="I28" s="70"/>
    </row>
    <row r="29" spans="1:10" x14ac:dyDescent="0.25">
      <c r="A29" s="38"/>
      <c r="G29" s="117" t="s">
        <v>333</v>
      </c>
      <c r="H29" s="68" t="s">
        <v>334</v>
      </c>
      <c r="I29" s="69">
        <f>Data!C4</f>
        <v>13</v>
      </c>
    </row>
    <row r="30" spans="1:10" x14ac:dyDescent="0.25">
      <c r="A30" s="38"/>
      <c r="G30" s="118"/>
      <c r="H30" s="68" t="s">
        <v>335</v>
      </c>
      <c r="I30" s="69">
        <f>Data!E4</f>
        <v>0</v>
      </c>
    </row>
    <row r="31" spans="1:10" x14ac:dyDescent="0.25">
      <c r="A31" s="38"/>
      <c r="G31" s="118"/>
      <c r="H31" s="68" t="s">
        <v>336</v>
      </c>
      <c r="I31" s="69">
        <f>Data!D4</f>
        <v>0</v>
      </c>
    </row>
    <row r="32" spans="1:10" x14ac:dyDescent="0.25">
      <c r="A32" s="38"/>
      <c r="G32" s="119"/>
      <c r="H32" s="68" t="s">
        <v>337</v>
      </c>
      <c r="I32" s="71" t="str">
        <f>IF(SUM(I29:I31)=I27,"MATCHED","NOT MATCH")</f>
        <v>NOT MATCH</v>
      </c>
    </row>
    <row r="33" spans="1:9" x14ac:dyDescent="0.25">
      <c r="A33" s="38"/>
      <c r="G33" s="70"/>
      <c r="H33" s="70"/>
      <c r="I33" s="70"/>
    </row>
    <row r="34" spans="1:9" x14ac:dyDescent="0.25">
      <c r="A34" s="38"/>
      <c r="G34" s="117" t="s">
        <v>338</v>
      </c>
      <c r="H34" s="68" t="s">
        <v>334</v>
      </c>
      <c r="I34" s="69">
        <f>Data!C6</f>
        <v>0</v>
      </c>
    </row>
    <row r="35" spans="1:9" ht="24" x14ac:dyDescent="0.25">
      <c r="A35" s="38"/>
      <c r="G35" s="118"/>
      <c r="H35" s="68" t="s">
        <v>339</v>
      </c>
      <c r="I35" s="69">
        <f>Data!E6</f>
        <v>0</v>
      </c>
    </row>
    <row r="36" spans="1:9" ht="24.75" x14ac:dyDescent="0.25">
      <c r="A36" s="38"/>
      <c r="G36" s="118"/>
      <c r="H36" s="68" t="s">
        <v>340</v>
      </c>
      <c r="I36" s="72" t="str">
        <f>G14</f>
        <v>&lt;To be filled by CISO Officer&gt;</v>
      </c>
    </row>
    <row r="37" spans="1:9" x14ac:dyDescent="0.25">
      <c r="A37" s="38"/>
      <c r="G37" s="118"/>
      <c r="H37" s="68" t="s">
        <v>337</v>
      </c>
      <c r="I37" s="71" t="str">
        <f>IF(SUM(I34:I36)=I27,"MATCHED","NOT MATCH")</f>
        <v>NOT MATCH</v>
      </c>
    </row>
    <row r="38" spans="1:9" ht="36" x14ac:dyDescent="0.25">
      <c r="A38" s="38"/>
      <c r="G38" s="118"/>
      <c r="H38" s="68" t="s">
        <v>341</v>
      </c>
      <c r="I38" s="71" t="str">
        <f>IF(COUNTIFS('MBSS Control Checklist'!K2:K61,"Control Exempted",'MBSS Control Checklist'!F2:F61,"Mandatory")=B13,"MATCHED","NOT MATCH")</f>
        <v>MATCHED</v>
      </c>
    </row>
    <row r="39" spans="1:9" ht="45.6" customHeight="1" x14ac:dyDescent="0.25">
      <c r="A39" s="38"/>
      <c r="G39" s="118"/>
      <c r="H39" s="68" t="s">
        <v>342</v>
      </c>
      <c r="I39" s="71" t="str">
        <f>IF(COUNTIFS('MBSS Control Checklist'!H2:H61,"Non compliant",'MBSS Control Checklist'!F2:F61,"Mandatory")=G14,"MATCHED","NOT MATCH")</f>
        <v>NOT MATCH</v>
      </c>
    </row>
    <row r="40" spans="1:9" x14ac:dyDescent="0.25">
      <c r="A40" s="38"/>
      <c r="G40" s="119"/>
      <c r="H40" s="68" t="s">
        <v>325</v>
      </c>
      <c r="I40" s="73">
        <f>G16</f>
        <v>0</v>
      </c>
    </row>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sheetData>
  <dataConsolidate/>
  <mergeCells count="31">
    <mergeCell ref="G15:I15"/>
    <mergeCell ref="G16:I16"/>
    <mergeCell ref="B14:D14"/>
    <mergeCell ref="A8:D8"/>
    <mergeCell ref="F8:I8"/>
    <mergeCell ref="B9:D9"/>
    <mergeCell ref="G9:I9"/>
    <mergeCell ref="B10:D10"/>
    <mergeCell ref="G11:I11"/>
    <mergeCell ref="B12:D12"/>
    <mergeCell ref="G12:I12"/>
    <mergeCell ref="B13:D13"/>
    <mergeCell ref="G13:I13"/>
    <mergeCell ref="G10:I10"/>
    <mergeCell ref="G14:I14"/>
    <mergeCell ref="A1:C1"/>
    <mergeCell ref="F1:G1"/>
    <mergeCell ref="G29:G32"/>
    <mergeCell ref="G34:G40"/>
    <mergeCell ref="G26:I26"/>
    <mergeCell ref="G21:I21"/>
    <mergeCell ref="B22:D22"/>
    <mergeCell ref="G23:I23"/>
    <mergeCell ref="A26:F26"/>
    <mergeCell ref="B15:D15"/>
    <mergeCell ref="B17:D17"/>
    <mergeCell ref="A19:D19"/>
    <mergeCell ref="F19:I19"/>
    <mergeCell ref="B20:D20"/>
    <mergeCell ref="G20:I20"/>
    <mergeCell ref="B16:D16"/>
  </mergeCells>
  <conditionalFormatting sqref="G12:I12">
    <cfRule type="cellIs" dxfId="11" priority="13" operator="equal">
      <formula>"Total number of registered control exemption DOES NOT MATCHED with total number reported by Implementer"</formula>
    </cfRule>
    <cfRule type="cellIs" dxfId="10" priority="14" operator="equal">
      <formula>"Total number of registered control exemption MATCHED with total number reported by Implementer"</formula>
    </cfRule>
  </conditionalFormatting>
  <conditionalFormatting sqref="G15:I15">
    <cfRule type="cellIs" dxfId="9" priority="11" operator="equal">
      <formula>"Risk acceptance registered DOES NOT MATCHED with number of non compliant reported by Implementer"</formula>
    </cfRule>
    <cfRule type="cellIs" dxfId="8" priority="12" operator="equal">
      <formula>"Risk acceptance registered MATCHED with number of non compliant reported by Implementer"</formula>
    </cfRule>
  </conditionalFormatting>
  <conditionalFormatting sqref="I32">
    <cfRule type="cellIs" dxfId="7" priority="9" operator="equal">
      <formula>"NOT MATCH"</formula>
    </cfRule>
    <cfRule type="cellIs" dxfId="6" priority="10" operator="equal">
      <formula>"MATCHED"</formula>
    </cfRule>
  </conditionalFormatting>
  <conditionalFormatting sqref="I38">
    <cfRule type="cellIs" dxfId="5" priority="5" operator="equal">
      <formula>"NOT MATCH"</formula>
    </cfRule>
    <cfRule type="cellIs" dxfId="4" priority="6" operator="equal">
      <formula>"MATCHED"</formula>
    </cfRule>
  </conditionalFormatting>
  <conditionalFormatting sqref="I39">
    <cfRule type="cellIs" dxfId="3" priority="3" operator="equal">
      <formula>"NOT MATCH"</formula>
    </cfRule>
    <cfRule type="cellIs" dxfId="2" priority="4" operator="equal">
      <formula>"MATCHED"</formula>
    </cfRule>
  </conditionalFormatting>
  <conditionalFormatting sqref="I37">
    <cfRule type="cellIs" dxfId="1" priority="1" operator="equal">
      <formula>"NOT MATCH"</formula>
    </cfRule>
    <cfRule type="cellIs" dxfId="0" priority="2" operator="equal">
      <formula>"MATCHED"</formula>
    </cfRule>
  </conditionalFormatting>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7"/>
  <sheetViews>
    <sheetView workbookViewId="0">
      <selection activeCell="D15" sqref="D15"/>
    </sheetView>
  </sheetViews>
  <sheetFormatPr defaultRowHeight="15" x14ac:dyDescent="0.25"/>
  <cols>
    <col min="1" max="1" width="27.42578125" bestFit="1" customWidth="1"/>
    <col min="2" max="2" width="10" bestFit="1" customWidth="1"/>
    <col min="3" max="3" width="9.5703125" bestFit="1" customWidth="1"/>
    <col min="4" max="4" width="13.85546875" bestFit="1" customWidth="1"/>
    <col min="5" max="5" width="16.140625" bestFit="1" customWidth="1"/>
    <col min="6" max="6" width="5.140625" bestFit="1" customWidth="1"/>
  </cols>
  <sheetData>
    <row r="1" spans="1:6" x14ac:dyDescent="0.25">
      <c r="A1" s="39" t="s">
        <v>343</v>
      </c>
    </row>
    <row r="3" spans="1:6" x14ac:dyDescent="0.25">
      <c r="A3" s="40" t="s">
        <v>344</v>
      </c>
      <c r="B3" s="40" t="s">
        <v>345</v>
      </c>
      <c r="C3" s="40" t="s">
        <v>80</v>
      </c>
      <c r="D3" s="40" t="s">
        <v>82</v>
      </c>
      <c r="E3" s="40" t="s">
        <v>346</v>
      </c>
      <c r="F3" s="40" t="s">
        <v>347</v>
      </c>
    </row>
    <row r="4" spans="1:6" x14ac:dyDescent="0.25">
      <c r="A4" s="146" t="s">
        <v>333</v>
      </c>
      <c r="B4" t="s">
        <v>73</v>
      </c>
      <c r="C4">
        <f>COUNTIFS('MBSS Control Checklist'!H2:H61,"Compliant",'MBSS Control Checklist'!F2:F61,"Mandatory")</f>
        <v>13</v>
      </c>
      <c r="D4">
        <f>COUNTIFS('MBSS Control Checklist'!H2:H61,"Non Compliant",'MBSS Control Checklist'!F2:F61,"Mandatory")</f>
        <v>0</v>
      </c>
      <c r="E4">
        <f>COUNTIFS('MBSS Control Checklist'!H2:H61,"Request Control Exemption",'MBSS Control Checklist'!F2:F61,"Mandatory")</f>
        <v>0</v>
      </c>
      <c r="F4">
        <f>SUM(C4:E4)</f>
        <v>13</v>
      </c>
    </row>
    <row r="5" spans="1:6" x14ac:dyDescent="0.25">
      <c r="A5" s="146"/>
      <c r="B5" t="s">
        <v>75</v>
      </c>
      <c r="C5">
        <f>COUNTIFS('MBSS Control Checklist'!H2:H61,"Compliant",'MBSS Control Checklist'!F2:F61,"Secondary")</f>
        <v>0</v>
      </c>
      <c r="D5">
        <f>COUNTIFS('MBSS Control Checklist'!H2:H61,"Non Compliant",'MBSS Control Checklist'!F2:F61,"Secondary")</f>
        <v>0</v>
      </c>
      <c r="E5">
        <f>COUNTIFS('MBSS Control Checklist'!H2:H61,"Request Control Exemption",'MBSS Control Checklist'!F2:F61,"Secondary")</f>
        <v>0</v>
      </c>
      <c r="F5">
        <f>SUM(C5:E5)</f>
        <v>0</v>
      </c>
    </row>
    <row r="6" spans="1:6" x14ac:dyDescent="0.25">
      <c r="A6" s="146" t="s">
        <v>338</v>
      </c>
      <c r="B6" t="s">
        <v>73</v>
      </c>
      <c r="C6">
        <f>COUNTIFS('MBSS Control Checklist'!K2:K61,"Compliant",'MBSS Control Checklist'!F2:F61,"Mandatory")</f>
        <v>0</v>
      </c>
      <c r="D6">
        <f>COUNTIFS('MBSS Control Checklist'!K2:K61,"Non Compliant",'MBSS Control Checklist'!F2:F61,"Mandatory")</f>
        <v>0</v>
      </c>
      <c r="E6">
        <f>COUNTIFS('MBSS Control Checklist'!K2:K61,"Control Exempted",'MBSS Control Checklist'!F2:F61,"Mandatory")</f>
        <v>0</v>
      </c>
      <c r="F6">
        <f>SUM(C6:E6)</f>
        <v>0</v>
      </c>
    </row>
    <row r="7" spans="1:6" x14ac:dyDescent="0.25">
      <c r="A7" s="146"/>
      <c r="B7" t="s">
        <v>75</v>
      </c>
      <c r="C7">
        <f>COUNTIFS('MBSS Control Checklist'!K2:K61,"Compliant",'MBSS Control Checklist'!F2:F61,"Secondary")</f>
        <v>0</v>
      </c>
      <c r="D7">
        <f>COUNTIFS('MBSS Control Checklist'!K2:K61,"Non Compliant",'MBSS Control Checklist'!F2:F61,"Secondary")</f>
        <v>0</v>
      </c>
      <c r="E7">
        <f>COUNTIFS('MBSS Control Checklist'!K2:K61,"Control Exempted",'MBSS Control Checklist'!F2:F61,"Secondary")</f>
        <v>0</v>
      </c>
      <c r="F7">
        <f>SUM(C7:E7)</f>
        <v>0</v>
      </c>
    </row>
  </sheetData>
  <mergeCells count="2">
    <mergeCell ref="A4:A5"/>
    <mergeCell ref="A6:A7"/>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13D3A486A623D4289D64EE78887764A" ma:contentTypeVersion="12" ma:contentTypeDescription="Create a new document." ma:contentTypeScope="" ma:versionID="bbc0810f19af20f9ba09fd5fedad7602">
  <xsd:schema xmlns:xsd="http://www.w3.org/2001/XMLSchema" xmlns:xs="http://www.w3.org/2001/XMLSchema" xmlns:p="http://schemas.microsoft.com/office/2006/metadata/properties" xmlns:ns2="dab6ade0-5275-49ac-9f34-8e4bffd5a92c" xmlns:ns3="4cfef318-c717-45bb-9b6f-9f7608bdf744" targetNamespace="http://schemas.microsoft.com/office/2006/metadata/properties" ma:root="true" ma:fieldsID="c342d5310333afa2388cae6b54f22f42" ns2:_="" ns3:_="">
    <xsd:import namespace="dab6ade0-5275-49ac-9f34-8e4bffd5a92c"/>
    <xsd:import namespace="4cfef318-c717-45bb-9b6f-9f7608bdf744"/>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EventHashCode" minOccurs="0"/>
                <xsd:element ref="ns3:MediaServiceGenerationTime" minOccurs="0"/>
                <xsd:element ref="ns3:MediaServiceAutoTags" minOccurs="0"/>
                <xsd:element ref="ns3:MediaServiceOCR" minOccurs="0"/>
                <xsd:element ref="ns3:MediaServiceDateTaken" minOccurs="0"/>
                <xsd:element ref="ns3:MediaServiceLocatio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b6ade0-5275-49ac-9f34-8e4bffd5a92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cfef318-c717-45bb-9b6f-9f7608bdf744"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02BD1B9-4445-420A-B40B-1E61E3556AC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924B0790-833C-436F-A807-2308D31C04E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ab6ade0-5275-49ac-9f34-8e4bffd5a92c"/>
    <ds:schemaRef ds:uri="4cfef318-c717-45bb-9b6f-9f7608bdf74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5957EF7-826E-455D-AAF7-062F70AAFB9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Cover Page</vt:lpstr>
      <vt:lpstr>Version Control</vt:lpstr>
      <vt:lpstr>Document Overview</vt:lpstr>
      <vt:lpstr>MBSS Control Checklist</vt:lpstr>
      <vt:lpstr>Dashboard</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Jannatul Ajilah Md Nor</dc:creator>
  <cp:keywords/>
  <dc:description/>
  <cp:lastModifiedBy>Naufal Pambudi</cp:lastModifiedBy>
  <cp:revision>1</cp:revision>
  <dcterms:created xsi:type="dcterms:W3CDTF">2019-10-31T23:42:01Z</dcterms:created>
  <dcterms:modified xsi:type="dcterms:W3CDTF">2026-02-16T09:26:10Z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0x010100D13D3A486A623D4289D64EE78887764A</vt:lpwstr>
  </property>
  <property fmtid="{D5CDD505-2E9C-101B-9397-08002B2CF9AE}" pid="3" name="MSIP_Label_b309495b-77ee-40ed-ad1c-aaecf7fbb9ab_Enabled">
    <vt:lpwstr>True</vt:lpwstr>
  </property>
  <property fmtid="{D5CDD505-2E9C-101B-9397-08002B2CF9AE}" pid="4" name="MSIP_Label_b309495b-77ee-40ed-ad1c-aaecf7fbb9ab_SiteId">
    <vt:lpwstr>a1eae0da-f0d1-449d-8854-f54ddbda8711</vt:lpwstr>
  </property>
  <property fmtid="{D5CDD505-2E9C-101B-9397-08002B2CF9AE}" pid="5" name="MSIP_Label_b309495b-77ee-40ed-ad1c-aaecf7fbb9ab_Owner">
    <vt:lpwstr>HWASKITA@xl.co.id</vt:lpwstr>
  </property>
  <property fmtid="{D5CDD505-2E9C-101B-9397-08002B2CF9AE}" pid="6" name="MSIP_Label_b309495b-77ee-40ed-ad1c-aaecf7fbb9ab_SetDate">
    <vt:lpwstr>2020-01-28T07:51:40.8596727Z</vt:lpwstr>
  </property>
  <property fmtid="{D5CDD505-2E9C-101B-9397-08002B2CF9AE}" pid="7" name="MSIP_Label_b309495b-77ee-40ed-ad1c-aaecf7fbb9ab_Name">
    <vt:lpwstr>XL Axiata Public</vt:lpwstr>
  </property>
  <property fmtid="{D5CDD505-2E9C-101B-9397-08002B2CF9AE}" pid="8" name="MSIP_Label_b309495b-77ee-40ed-ad1c-aaecf7fbb9ab_Application">
    <vt:lpwstr>Microsoft Azure Information Protection</vt:lpwstr>
  </property>
  <property fmtid="{D5CDD505-2E9C-101B-9397-08002B2CF9AE}" pid="9" name="MSIP_Label_b309495b-77ee-40ed-ad1c-aaecf7fbb9ab_ActionId">
    <vt:lpwstr>1ed5676c-3c3e-4229-a46c-7d8f9212c067</vt:lpwstr>
  </property>
  <property fmtid="{D5CDD505-2E9C-101B-9397-08002B2CF9AE}" pid="10" name="MSIP_Label_b309495b-77ee-40ed-ad1c-aaecf7fbb9ab_Extended_MSFT_Method">
    <vt:lpwstr>Automatic</vt:lpwstr>
  </property>
  <property fmtid="{D5CDD505-2E9C-101B-9397-08002B2CF9AE}" pid="11" name="Sensitivity">
    <vt:lpwstr>XL Axiata Public</vt:lpwstr>
  </property>
</Properties>
</file>